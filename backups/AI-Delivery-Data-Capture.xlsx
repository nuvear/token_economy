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bject_Log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<sst xmlns="http://schemas.openxmlformats.org/spreadsheetml/2006/main" count="135" uniqueCount="84">
  <si>
    <t xml:space="preserve">AI DELIVERY DATA CAPTURE — PER-UNIT LOG</t>
  </si>
  <si>
    <t xml:space="preserve">Purpose: turn AI-delivery assumptions (c, e, q, tokens) into measured actuals, per unit of work and complexity class.</t>
  </si>
  <si>
    <t xml:space="preserve">These measured values feed the pricing calculator and are the evidence base for published tier prices.</t>
  </si>
  <si>
    <t xml:space="preserve">HOW TO USE</t>
  </si>
  <si>
    <t xml:space="preserve">1. During delivery, log one row per unit of work (e.g. per remediated object) on the Object_Log sheet.</t>
  </si>
  <si>
    <t xml:space="preserve">2. Use the dropdowns for Complexity, AI Handled, Rework and Model — free text breaks the Dashboard formulas.</t>
  </si>
  <si>
    <t xml:space="preserve">3. The Dashboard computes c, e, q, rework rate and token consumption per complexity class automatically.</t>
  </si>
  <si>
    <t xml:space="preserve">4. After ~500 logged units, transfer the Dashboard's 'values for the pricing calculator' into deal simulations.</t>
  </si>
  <si>
    <t xml:space="preserve">5. Delete the 12 SAMPLE rows (shaded grey on Object_Log) before logging real data.</t>
  </si>
  <si>
    <t xml:space="preserve">LEGEND</t>
  </si>
  <si>
    <t xml:space="preserve">Yellow-filled, blue-text cells = inputs you can edit (Dashboard baseline minutes per class).</t>
  </si>
  <si>
    <t xml:space="preserve">White cells on Object_Log = data entry, one row per unit. Black-text Dashboard cells = formulas, do not edit.</t>
  </si>
  <si>
    <t xml:space="preserve">DEFINITIONS (match the pricing framework)</t>
  </si>
  <si>
    <t xml:space="preserve">c — AI coverage: share of logged units where AI Handled = Y.</t>
  </si>
  <si>
    <t xml:space="preserve">e — Effort reduction: 1 − (avg AI + human minutes on AI-handled units) ÷ baseline minutes for that class.</t>
  </si>
  <si>
    <t xml:space="preserve">q — QA add-back: avg senior review minutes ÷ minutes saved (baseline − AI − human), on AI-handled units.</t>
  </si>
  <si>
    <t xml:space="preserve">Rework rate: share of AI-handled units flagged Rework = Y (failed ATC or regression after delivery).</t>
  </si>
  <si>
    <t xml:space="preserve">Baseline minutes per class are your traditional (pre-AI) effort standards — defaults are the case-example values; replace with your own.</t>
  </si>
  <si>
    <t xml:space="preserve">Unit ID</t>
  </si>
  <si>
    <t xml:space="preserve">Unit Type</t>
  </si>
  <si>
    <t xml:space="preserve">Complexity</t>
  </si>
  <si>
    <t xml:space="preserve">AI Handled (Y/N)</t>
  </si>
  <si>
    <t xml:space="preserve">AI Minutes</t>
  </si>
  <si>
    <t xml:space="preserve">Human Minutes</t>
  </si>
  <si>
    <t xml:space="preserve">Review Minutes</t>
  </si>
  <si>
    <t xml:space="preserve">Rework (Y/N)</t>
  </si>
  <si>
    <t xml:space="preserve">Tokens In (K)</t>
  </si>
  <si>
    <t xml:space="preserve">Tokens Out (K)</t>
  </si>
  <si>
    <t xml:space="preserve">Model</t>
  </si>
  <si>
    <t xml:space="preserve">Notes</t>
  </si>
  <si>
    <t xml:space="preserve">SAMPLE-001</t>
  </si>
  <si>
    <t xml:space="preserve">Report</t>
  </si>
  <si>
    <t xml:space="preserve">Simple</t>
  </si>
  <si>
    <t xml:space="preserve">Y</t>
  </si>
  <si>
    <t xml:space="preserve">N</t>
  </si>
  <si>
    <t xml:space="preserve">Workhorse</t>
  </si>
  <si>
    <t xml:space="preserve">obsolete WRITE stmts</t>
  </si>
  <si>
    <t xml:space="preserve">SAMPLE-002</t>
  </si>
  <si>
    <t xml:space="preserve">SAMPLE-003</t>
  </si>
  <si>
    <t xml:space="preserve">Include</t>
  </si>
  <si>
    <t xml:space="preserve">SAMPLE-004</t>
  </si>
  <si>
    <t xml:space="preserve">Function</t>
  </si>
  <si>
    <t xml:space="preserve">regression fail, fixed</t>
  </si>
  <si>
    <t xml:space="preserve">SAMPLE-005</t>
  </si>
  <si>
    <t xml:space="preserve">Medium</t>
  </si>
  <si>
    <t xml:space="preserve">SELECT * rework</t>
  </si>
  <si>
    <t xml:space="preserve">SAMPLE-006</t>
  </si>
  <si>
    <t xml:space="preserve">Class</t>
  </si>
  <si>
    <t xml:space="preserve">SAMPLE-007</t>
  </si>
  <si>
    <t xml:space="preserve">SAMPLE-008</t>
  </si>
  <si>
    <t xml:space="preserve">Frontier</t>
  </si>
  <si>
    <t xml:space="preserve">complex joins</t>
  </si>
  <si>
    <t xml:space="preserve">SAMPLE-009</t>
  </si>
  <si>
    <t xml:space="preserve">Enhancement</t>
  </si>
  <si>
    <t xml:space="preserve">Complex</t>
  </si>
  <si>
    <t xml:space="preserve">SAMPLE-010</t>
  </si>
  <si>
    <t xml:space="preserve">manual — user exit logic</t>
  </si>
  <si>
    <t xml:space="preserve">SAMPLE-011</t>
  </si>
  <si>
    <t xml:space="preserve">Interface</t>
  </si>
  <si>
    <t xml:space="preserve">manual — redesign</t>
  </si>
  <si>
    <t xml:space="preserve">SAMPLE-012</t>
  </si>
  <si>
    <t xml:space="preserve">AI DELIVERY DASHBOARD — MEASURED c, e, q</t>
  </si>
  <si>
    <t xml:space="preserve">All figures compute live from Object_Log. Black cells are formulas — do not edit.</t>
  </si>
  <si>
    <t xml:space="preserve">BASELINE MINUTES PER UNIT (traditional, pre-AI) — edit these</t>
  </si>
  <si>
    <t xml:space="preserve">Source: case-example standards (blended 3.5 hrs/object). Replace with your own effort norms.</t>
  </si>
  <si>
    <t xml:space="preserve">Complexity class</t>
  </si>
  <si>
    <t xml:space="preserve">Units logged</t>
  </si>
  <si>
    <t xml:space="preserve">AI-handled</t>
  </si>
  <si>
    <t xml:space="preserve">c — coverage</t>
  </si>
  <si>
    <t xml:space="preserve">Avg AI+human min (AI-handled)</t>
  </si>
  <si>
    <t xml:space="preserve">e — effort reduction</t>
  </si>
  <si>
    <t xml:space="preserve">Avg review min</t>
  </si>
  <si>
    <t xml:space="preserve">q — QA add-back</t>
  </si>
  <si>
    <t xml:space="preserve">Rework rate (AI)</t>
  </si>
  <si>
    <t xml:space="preserve">Avg tokens K/unit (in+out)</t>
  </si>
  <si>
    <t xml:space="preserve">ALL UNITS</t>
  </si>
  <si>
    <t xml:space="preserve">Note: ALL-UNITS c is a straight share; e, q, rework and tokens are weighted by AI-handled counts per class.</t>
  </si>
  <si>
    <t xml:space="preserve">VALUES FOR THE PRICING CALCULATOR (from ALL UNITS row)</t>
  </si>
  <si>
    <t xml:space="preserve">AI coverage  c</t>
  </si>
  <si>
    <t xml:space="preserve">Effort reduction  e</t>
  </si>
  <si>
    <t xml:space="preserve">QA add-back  q</t>
  </si>
  <si>
    <t xml:space="preserve">Tokens per covered unit (K, in+out)</t>
  </si>
  <si>
    <t xml:space="preserve">Rework rate (target &lt; 2%)</t>
  </si>
  <si>
    <t xml:space="preserve">Statistical note: treat per-class values as defensible from ~150 units per class (~500 total).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</si>
</sst>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43D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77F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6243D"/>
      <name val="Arial"/>
      <family val="0"/>
      <charset val="1"/>
    </font>
    <font>
      <i val="true"/>
      <sz val="10"/>
      <color rgb="FF6B7A93"/>
      <name val="Arial"/>
      <family val="0"/>
      <charset val="1"/>
    </font>
    <font>
      <b val="true"/>
      <sz val="10"/>
      <color rgb="FFC77F1A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B7A9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624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243D"/>
        <bgColor rgb="FF003366"/>
      </patternFill>
    </fill>
    <fill>
      <patternFill patternType="solid">
        <fgColor rgb="FFE9EDF3"/>
        <bgColor rgb="FFEEF4FC"/>
      </patternFill>
    </fill>
    <fill>
      <patternFill patternType="solid">
        <fgColor rgb="FFFFFF00"/>
        <bgColor rgb="FFFFFF00"/>
      </patternFill>
    </fill>
    <fill>
      <patternFill patternType="solid">
        <fgColor rgb="FFD9E6F7"/>
        <bgColor rgb="FFE9EDF3"/>
      </patternFill>
    </fill>
    <fill>
      <patternFill patternType="solid">
        <fgColor rgb="FFEEF4FC"/>
        <bgColor rgb="FFE9ED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6"/>
      <rgbColor rgb="FF6B7A93"/>
      <rgbColor rgb="FF9999FF"/>
      <rgbColor rgb="FF993366"/>
      <rgbColor rgb="FFEEF4FC"/>
      <rgbColor rgb="FFD9E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D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77F1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4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2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2" t="s">
        <v>10</v>
      </c>
    </row>
    <row r="14" customFormat="false" ht="15" hidden="false" customHeight="false" outlineLevel="0" collapsed="false">
      <c r="B14" s="2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15" hidden="false" customHeight="false" outlineLevel="0" collapsed="false">
      <c r="B19" s="2" t="s">
        <v>15</v>
      </c>
    </row>
    <row r="20" customFormat="false" ht="15" hidden="false" customHeight="false" outlineLevel="0" collapsed="false">
      <c r="B20" s="2" t="s">
        <v>16</v>
      </c>
    </row>
    <row r="21" customFormat="false" ht="15" hidden="false" customHeight="false" outlineLevel="0" collapsed="false">
      <c r="B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7" min="6" style="0" width="14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23.8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5" t="s">
        <v>32</v>
      </c>
      <c r="D2" s="5" t="s">
        <v>33</v>
      </c>
      <c r="E2" s="6" t="n">
        <v>5</v>
      </c>
      <c r="F2" s="6" t="n">
        <v>15</v>
      </c>
      <c r="G2" s="6" t="n">
        <v>8</v>
      </c>
      <c r="H2" s="5" t="s">
        <v>34</v>
      </c>
      <c r="I2" s="6" t="n">
        <v>180</v>
      </c>
      <c r="J2" s="6" t="n">
        <v>25</v>
      </c>
      <c r="K2" s="5" t="s">
        <v>35</v>
      </c>
      <c r="L2" s="5" t="s">
        <v>36</v>
      </c>
    </row>
    <row r="3" customFormat="false" ht="15" hidden="false" customHeight="false" outlineLevel="0" collapsed="false">
      <c r="A3" s="5" t="s">
        <v>37</v>
      </c>
      <c r="B3" s="5" t="s">
        <v>31</v>
      </c>
      <c r="C3" s="5" t="s">
        <v>32</v>
      </c>
      <c r="D3" s="5" t="s">
        <v>33</v>
      </c>
      <c r="E3" s="6" t="n">
        <v>4</v>
      </c>
      <c r="F3" s="6" t="n">
        <v>12</v>
      </c>
      <c r="G3" s="6" t="n">
        <v>6</v>
      </c>
      <c r="H3" s="5" t="s">
        <v>34</v>
      </c>
      <c r="I3" s="6" t="n">
        <v>160</v>
      </c>
      <c r="J3" s="6" t="n">
        <v>22</v>
      </c>
      <c r="K3" s="5" t="s">
        <v>35</v>
      </c>
      <c r="L3" s="5"/>
    </row>
    <row r="4" customFormat="false" ht="15" hidden="false" customHeight="false" outlineLevel="0" collapsed="false">
      <c r="A4" s="5" t="s">
        <v>38</v>
      </c>
      <c r="B4" s="5" t="s">
        <v>39</v>
      </c>
      <c r="C4" s="5" t="s">
        <v>32</v>
      </c>
      <c r="D4" s="5" t="s">
        <v>33</v>
      </c>
      <c r="E4" s="6" t="n">
        <v>6</v>
      </c>
      <c r="F4" s="6" t="n">
        <v>22</v>
      </c>
      <c r="G4" s="6" t="n">
        <v>9</v>
      </c>
      <c r="H4" s="5" t="s">
        <v>34</v>
      </c>
      <c r="I4" s="6" t="n">
        <v>210</v>
      </c>
      <c r="J4" s="6" t="n">
        <v>30</v>
      </c>
      <c r="K4" s="5" t="s">
        <v>35</v>
      </c>
      <c r="L4" s="5"/>
    </row>
    <row r="5" customFormat="false" ht="15" hidden="false" customHeight="false" outlineLevel="0" collapsed="false">
      <c r="A5" s="5" t="s">
        <v>40</v>
      </c>
      <c r="B5" s="5" t="s">
        <v>41</v>
      </c>
      <c r="C5" s="5" t="s">
        <v>32</v>
      </c>
      <c r="D5" s="5" t="s">
        <v>33</v>
      </c>
      <c r="E5" s="6" t="n">
        <v>5</v>
      </c>
      <c r="F5" s="6" t="n">
        <v>18</v>
      </c>
      <c r="G5" s="6" t="n">
        <v>7</v>
      </c>
      <c r="H5" s="5" t="s">
        <v>33</v>
      </c>
      <c r="I5" s="6" t="n">
        <v>190</v>
      </c>
      <c r="J5" s="6" t="n">
        <v>28</v>
      </c>
      <c r="K5" s="5" t="s">
        <v>35</v>
      </c>
      <c r="L5" s="5" t="s">
        <v>42</v>
      </c>
    </row>
    <row r="6" customFormat="false" ht="15" hidden="false" customHeight="false" outlineLevel="0" collapsed="false">
      <c r="A6" s="5" t="s">
        <v>43</v>
      </c>
      <c r="B6" s="5" t="s">
        <v>31</v>
      </c>
      <c r="C6" s="5" t="s">
        <v>44</v>
      </c>
      <c r="D6" s="5" t="s">
        <v>33</v>
      </c>
      <c r="E6" s="6" t="n">
        <v>10</v>
      </c>
      <c r="F6" s="6" t="n">
        <v>55</v>
      </c>
      <c r="G6" s="6" t="n">
        <v>18</v>
      </c>
      <c r="H6" s="5" t="s">
        <v>34</v>
      </c>
      <c r="I6" s="6" t="n">
        <v>240</v>
      </c>
      <c r="J6" s="6" t="n">
        <v>35</v>
      </c>
      <c r="K6" s="5" t="s">
        <v>35</v>
      </c>
      <c r="L6" s="5" t="s">
        <v>45</v>
      </c>
    </row>
    <row r="7" customFormat="false" ht="15" hidden="false" customHeight="false" outlineLevel="0" collapsed="false">
      <c r="A7" s="5" t="s">
        <v>46</v>
      </c>
      <c r="B7" s="5" t="s">
        <v>47</v>
      </c>
      <c r="C7" s="5" t="s">
        <v>44</v>
      </c>
      <c r="D7" s="5" t="s">
        <v>33</v>
      </c>
      <c r="E7" s="6" t="n">
        <v>12</v>
      </c>
      <c r="F7" s="6" t="n">
        <v>60</v>
      </c>
      <c r="G7" s="6" t="n">
        <v>20</v>
      </c>
      <c r="H7" s="5" t="s">
        <v>34</v>
      </c>
      <c r="I7" s="6" t="n">
        <v>260</v>
      </c>
      <c r="J7" s="6" t="n">
        <v>38</v>
      </c>
      <c r="K7" s="5" t="s">
        <v>35</v>
      </c>
      <c r="L7" s="5"/>
    </row>
    <row r="8" customFormat="false" ht="15" hidden="false" customHeight="false" outlineLevel="0" collapsed="false">
      <c r="A8" s="5" t="s">
        <v>48</v>
      </c>
      <c r="B8" s="5" t="s">
        <v>41</v>
      </c>
      <c r="C8" s="5" t="s">
        <v>44</v>
      </c>
      <c r="D8" s="5" t="s">
        <v>33</v>
      </c>
      <c r="E8" s="6" t="n">
        <v>9</v>
      </c>
      <c r="F8" s="6" t="n">
        <v>50</v>
      </c>
      <c r="G8" s="6" t="n">
        <v>16</v>
      </c>
      <c r="H8" s="5" t="s">
        <v>34</v>
      </c>
      <c r="I8" s="6" t="n">
        <v>230</v>
      </c>
      <c r="J8" s="6" t="n">
        <v>32</v>
      </c>
      <c r="K8" s="5" t="s">
        <v>35</v>
      </c>
      <c r="L8" s="5"/>
    </row>
    <row r="9" customFormat="false" ht="15" hidden="false" customHeight="false" outlineLevel="0" collapsed="false">
      <c r="A9" s="5" t="s">
        <v>49</v>
      </c>
      <c r="B9" s="5" t="s">
        <v>47</v>
      </c>
      <c r="C9" s="5" t="s">
        <v>44</v>
      </c>
      <c r="D9" s="5" t="s">
        <v>33</v>
      </c>
      <c r="E9" s="6" t="n">
        <v>11</v>
      </c>
      <c r="F9" s="6" t="n">
        <v>68</v>
      </c>
      <c r="G9" s="6" t="n">
        <v>22</v>
      </c>
      <c r="H9" s="5" t="s">
        <v>33</v>
      </c>
      <c r="I9" s="6" t="n">
        <v>280</v>
      </c>
      <c r="J9" s="6" t="n">
        <v>40</v>
      </c>
      <c r="K9" s="5" t="s">
        <v>50</v>
      </c>
      <c r="L9" s="5" t="s">
        <v>51</v>
      </c>
    </row>
    <row r="10" customFormat="false" ht="15" hidden="false" customHeight="false" outlineLevel="0" collapsed="false">
      <c r="A10" s="5" t="s">
        <v>52</v>
      </c>
      <c r="B10" s="5" t="s">
        <v>53</v>
      </c>
      <c r="C10" s="5" t="s">
        <v>54</v>
      </c>
      <c r="D10" s="5" t="s">
        <v>33</v>
      </c>
      <c r="E10" s="6" t="n">
        <v>25</v>
      </c>
      <c r="F10" s="6" t="n">
        <v>140</v>
      </c>
      <c r="G10" s="6" t="n">
        <v>45</v>
      </c>
      <c r="H10" s="5" t="s">
        <v>34</v>
      </c>
      <c r="I10" s="6" t="n">
        <v>520</v>
      </c>
      <c r="J10" s="6" t="n">
        <v>80</v>
      </c>
      <c r="K10" s="5" t="s">
        <v>50</v>
      </c>
      <c r="L10" s="5"/>
    </row>
    <row r="11" customFormat="false" ht="15" hidden="false" customHeight="false" outlineLevel="0" collapsed="false">
      <c r="A11" s="5" t="s">
        <v>55</v>
      </c>
      <c r="B11" s="5" t="s">
        <v>53</v>
      </c>
      <c r="C11" s="5" t="s">
        <v>54</v>
      </c>
      <c r="D11" s="5" t="s">
        <v>34</v>
      </c>
      <c r="E11" s="6" t="n">
        <v>0</v>
      </c>
      <c r="F11" s="6" t="n">
        <v>410</v>
      </c>
      <c r="G11" s="6" t="n">
        <v>0</v>
      </c>
      <c r="H11" s="5" t="s">
        <v>34</v>
      </c>
      <c r="I11" s="6" t="n">
        <v>0</v>
      </c>
      <c r="J11" s="6" t="n">
        <v>0</v>
      </c>
      <c r="K11" s="5"/>
      <c r="L11" s="5" t="s">
        <v>56</v>
      </c>
    </row>
    <row r="12" customFormat="false" ht="15" hidden="false" customHeight="false" outlineLevel="0" collapsed="false">
      <c r="A12" s="5" t="s">
        <v>57</v>
      </c>
      <c r="B12" s="5" t="s">
        <v>58</v>
      </c>
      <c r="C12" s="5" t="s">
        <v>54</v>
      </c>
      <c r="D12" s="5" t="s">
        <v>34</v>
      </c>
      <c r="E12" s="6" t="n">
        <v>0</v>
      </c>
      <c r="F12" s="6" t="n">
        <v>440</v>
      </c>
      <c r="G12" s="6" t="n">
        <v>0</v>
      </c>
      <c r="H12" s="5" t="s">
        <v>34</v>
      </c>
      <c r="I12" s="6" t="n">
        <v>0</v>
      </c>
      <c r="J12" s="6" t="n">
        <v>0</v>
      </c>
      <c r="K12" s="5"/>
      <c r="L12" s="5" t="s">
        <v>59</v>
      </c>
    </row>
    <row r="13" customFormat="false" ht="15" hidden="false" customHeight="false" outlineLevel="0" collapsed="false">
      <c r="A13" s="5" t="s">
        <v>60</v>
      </c>
      <c r="B13" s="5" t="s">
        <v>47</v>
      </c>
      <c r="C13" s="5" t="s">
        <v>54</v>
      </c>
      <c r="D13" s="5" t="s">
        <v>33</v>
      </c>
      <c r="E13" s="6" t="n">
        <v>30</v>
      </c>
      <c r="F13" s="6" t="n">
        <v>160</v>
      </c>
      <c r="G13" s="6" t="n">
        <v>50</v>
      </c>
      <c r="H13" s="5" t="s">
        <v>34</v>
      </c>
      <c r="I13" s="6" t="n">
        <v>560</v>
      </c>
      <c r="J13" s="6" t="n">
        <v>85</v>
      </c>
      <c r="K13" s="5" t="s">
        <v>50</v>
      </c>
      <c r="L13" s="5"/>
    </row>
  </sheetData>
  <dataValidations count="3">
    <dataValidation allowBlank="true" errorStyle="stop" operator="between" showDropDown="false" showErrorMessage="false" showInputMessage="false" sqref="C2:C1013" type="list">
      <formula1>"Simple,Medium,Complex"</formula1>
      <formula2>0</formula2>
    </dataValidation>
    <dataValidation allowBlank="true" errorStyle="stop" operator="between" showDropDown="false" showErrorMessage="false" showInputMessage="false" sqref="D2:D1013 H2:H1013" type="list">
      <formula1>"Y,N"</formula1>
      <formula2>0</formula2>
    </dataValidation>
    <dataValidation allowBlank="true" errorStyle="stop" operator="between" showDropDown="false" showErrorMessage="false" showInputMessage="false" sqref="K2:K1013" type="list">
      <formula1>"Efficient,Workhorse,Frontier,SAP-ABAP-1,Other"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7" t="s">
        <v>61</v>
      </c>
    </row>
    <row r="2" customFormat="false" ht="15" hidden="false" customHeight="false" outlineLevel="0" collapsed="false">
      <c r="A2" s="8" t="s">
        <v>62</v>
      </c>
    </row>
    <row r="4" customFormat="false" ht="15" hidden="false" customHeight="false" outlineLevel="0" collapsed="false">
      <c r="A4" s="9" t="s">
        <v>63</v>
      </c>
    </row>
    <row r="5" customFormat="false" ht="15" hidden="false" customHeight="false" outlineLevel="0" collapsed="false">
      <c r="A5" s="10" t="s">
        <v>32</v>
      </c>
      <c r="B5" s="11" t="n">
        <v>90</v>
      </c>
      <c r="C5" s="10" t="s">
        <v>44</v>
      </c>
      <c r="D5" s="11" t="n">
        <v>210</v>
      </c>
      <c r="E5" s="10" t="s">
        <v>54</v>
      </c>
      <c r="F5" s="11" t="n">
        <v>420</v>
      </c>
    </row>
    <row r="6" customFormat="false" ht="15" hidden="false" customHeight="false" outlineLevel="0" collapsed="false">
      <c r="A6" s="12" t="s">
        <v>64</v>
      </c>
    </row>
    <row r="8" customFormat="false" ht="33.75" hidden="false" customHeight="true" outlineLevel="0" collapsed="false">
      <c r="A8" s="13" t="s">
        <v>65</v>
      </c>
      <c r="B8" s="13" t="s">
        <v>66</v>
      </c>
      <c r="C8" s="13" t="s">
        <v>67</v>
      </c>
      <c r="D8" s="13" t="s">
        <v>68</v>
      </c>
      <c r="E8" s="13" t="s">
        <v>69</v>
      </c>
      <c r="F8" s="13" t="s">
        <v>70</v>
      </c>
      <c r="G8" s="13" t="s">
        <v>71</v>
      </c>
      <c r="H8" s="13" t="s">
        <v>72</v>
      </c>
      <c r="I8" s="13" t="s">
        <v>73</v>
      </c>
      <c r="J8" s="13" t="s">
        <v>74</v>
      </c>
    </row>
    <row r="9" customFormat="false" ht="15" hidden="false" customHeight="false" outlineLevel="0" collapsed="false">
      <c r="A9" s="14" t="s">
        <v>32</v>
      </c>
      <c r="B9" s="15" t="n">
        <f aca="false">COUNTIFS(Object_Log!$C$2:$C$2000,$A9)</f>
        <v>4</v>
      </c>
      <c r="C9" s="15" t="n">
        <f aca="false">COUNTIFS(Object_Log!$C$2:$C$2000,$A9,Object_Log!$D$2:$D$2000,"Y")</f>
        <v>4</v>
      </c>
      <c r="D9" s="16" t="n">
        <f aca="false">IFERROR(C9/B9,0)</f>
        <v>1</v>
      </c>
      <c r="E9" s="15" t="n">
        <f aca="false">IFERROR(AVERAGEIFS(Object_Log!$E$2:$E$2000,Object_Log!$C$2:$C$2000,$A9,Object_Log!$D$2:$D$2000,"Y")+AVERAGEIFS(Object_Log!$F$2:$F$2000,Object_Log!$C$2:$C$2000,$A9,Object_Log!$D$2:$D$2000,"Y"),0)</f>
        <v>21.75</v>
      </c>
      <c r="F9" s="16" t="n">
        <f aca="false">IFERROR(1-E9/$B$5,0)</f>
        <v>0.758333333333333</v>
      </c>
      <c r="G9" s="15" t="n">
        <f aca="false">IFERROR(AVERAGEIFS(Object_Log!$G$2:$G$2000,Object_Log!$C$2:$C$2000,$A9,Object_Log!$D$2:$D$2000,"Y"),0)</f>
        <v>7.5</v>
      </c>
      <c r="H9" s="16" t="n">
        <f aca="false">IFERROR(G9/($B$5-E9),0)</f>
        <v>0.10989010989011</v>
      </c>
      <c r="I9" s="16" t="n">
        <f aca="false">IFERROR(COUNTIFS(Object_Log!$C$2:$C$2000,$A9,Object_Log!$D$2:$D$2000,"Y",Object_Log!$H$2:$H$2000,"Y")/C9,0)</f>
        <v>0.25</v>
      </c>
      <c r="J9" s="17" t="n">
        <f aca="false">IFERROR(AVERAGEIFS(Object_Log!$I$2:$I$2000,Object_Log!$C$2:$C$2000,$A9,Object_Log!$D$2:$D$2000,"Y")+AVERAGEIFS(Object_Log!$J$2:$J$2000,Object_Log!$C$2:$C$2000,$A9,Object_Log!$D$2:$D$2000,"Y"),0)</f>
        <v>211.25</v>
      </c>
    </row>
    <row r="10" customFormat="false" ht="15" hidden="false" customHeight="false" outlineLevel="0" collapsed="false">
      <c r="A10" s="14" t="s">
        <v>44</v>
      </c>
      <c r="B10" s="15" t="n">
        <f aca="false">COUNTIFS(Object_Log!$C$2:$C$2000,$A10)</f>
        <v>4</v>
      </c>
      <c r="C10" s="15" t="n">
        <f aca="false">COUNTIFS(Object_Log!$C$2:$C$2000,$A10,Object_Log!$D$2:$D$2000,"Y")</f>
        <v>4</v>
      </c>
      <c r="D10" s="16" t="n">
        <f aca="false">IFERROR(C10/B10,0)</f>
        <v>1</v>
      </c>
      <c r="E10" s="15" t="n">
        <f aca="false">IFERROR(AVERAGEIFS(Object_Log!$E$2:$E$2000,Object_Log!$C$2:$C$2000,$A10,Object_Log!$D$2:$D$2000,"Y")+AVERAGEIFS(Object_Log!$F$2:$F$2000,Object_Log!$C$2:$C$2000,$A10,Object_Log!$D$2:$D$2000,"Y"),0)</f>
        <v>68.75</v>
      </c>
      <c r="F10" s="16" t="n">
        <f aca="false">IFERROR(1-E10/$D$5,0)</f>
        <v>0.672619047619048</v>
      </c>
      <c r="G10" s="15" t="n">
        <f aca="false">IFERROR(AVERAGEIFS(Object_Log!$G$2:$G$2000,Object_Log!$C$2:$C$2000,$A10,Object_Log!$D$2:$D$2000,"Y"),0)</f>
        <v>19</v>
      </c>
      <c r="H10" s="16" t="n">
        <f aca="false">IFERROR(G10/($D$5-E10),0)</f>
        <v>0.134513274336283</v>
      </c>
      <c r="I10" s="16" t="n">
        <f aca="false">IFERROR(COUNTIFS(Object_Log!$C$2:$C$2000,$A10,Object_Log!$D$2:$D$2000,"Y",Object_Log!$H$2:$H$2000,"Y")/C10,0)</f>
        <v>0.25</v>
      </c>
      <c r="J10" s="17" t="n">
        <f aca="false">IFERROR(AVERAGEIFS(Object_Log!$I$2:$I$2000,Object_Log!$C$2:$C$2000,$A10,Object_Log!$D$2:$D$2000,"Y")+AVERAGEIFS(Object_Log!$J$2:$J$2000,Object_Log!$C$2:$C$2000,$A10,Object_Log!$D$2:$D$2000,"Y"),0)</f>
        <v>288.75</v>
      </c>
    </row>
    <row r="11" customFormat="false" ht="15" hidden="false" customHeight="false" outlineLevel="0" collapsed="false">
      <c r="A11" s="14" t="s">
        <v>54</v>
      </c>
      <c r="B11" s="15" t="n">
        <f aca="false">COUNTIFS(Object_Log!$C$2:$C$2000,$A11)</f>
        <v>4</v>
      </c>
      <c r="C11" s="15" t="n">
        <f aca="false">COUNTIFS(Object_Log!$C$2:$C$2000,$A11,Object_Log!$D$2:$D$2000,"Y")</f>
        <v>2</v>
      </c>
      <c r="D11" s="16" t="n">
        <f aca="false">IFERROR(C11/B11,0)</f>
        <v>0.5</v>
      </c>
      <c r="E11" s="15" t="n">
        <f aca="false">IFERROR(AVERAGEIFS(Object_Log!$E$2:$E$2000,Object_Log!$C$2:$C$2000,$A11,Object_Log!$D$2:$D$2000,"Y")+AVERAGEIFS(Object_Log!$F$2:$F$2000,Object_Log!$C$2:$C$2000,$A11,Object_Log!$D$2:$D$2000,"Y"),0)</f>
        <v>177.5</v>
      </c>
      <c r="F11" s="16" t="n">
        <f aca="false">IFERROR(1-E11/$F$5,0)</f>
        <v>0.577380952380952</v>
      </c>
      <c r="G11" s="15" t="n">
        <f aca="false">IFERROR(AVERAGEIFS(Object_Log!$G$2:$G$2000,Object_Log!$C$2:$C$2000,$A11,Object_Log!$D$2:$D$2000,"Y"),0)</f>
        <v>47.5</v>
      </c>
      <c r="H11" s="16" t="n">
        <f aca="false">IFERROR(G11/($F$5-E11),0)</f>
        <v>0.195876288659794</v>
      </c>
      <c r="I11" s="16" t="n">
        <f aca="false">IFERROR(COUNTIFS(Object_Log!$C$2:$C$2000,$A11,Object_Log!$D$2:$D$2000,"Y",Object_Log!$H$2:$H$2000,"Y")/C11,0)</f>
        <v>0</v>
      </c>
      <c r="J11" s="17" t="n">
        <f aca="false">IFERROR(AVERAGEIFS(Object_Log!$I$2:$I$2000,Object_Log!$C$2:$C$2000,$A11,Object_Log!$D$2:$D$2000,"Y")+AVERAGEIFS(Object_Log!$J$2:$J$2000,Object_Log!$C$2:$C$2000,$A11,Object_Log!$D$2:$D$2000,"Y"),0)</f>
        <v>622.5</v>
      </c>
    </row>
    <row r="12" customFormat="false" ht="15" hidden="false" customHeight="false" outlineLevel="0" collapsed="false">
      <c r="A12" s="18" t="s">
        <v>75</v>
      </c>
      <c r="B12" s="19" t="n">
        <f aca="false">SUM(B9:B11)</f>
        <v>12</v>
      </c>
      <c r="C12" s="19" t="n">
        <f aca="false">SUM(C9:C11)</f>
        <v>10</v>
      </c>
      <c r="D12" s="20" t="n">
        <f aca="false">IFERROR(C12/B12,0)</f>
        <v>0.833333333333333</v>
      </c>
      <c r="E12" s="19" t="n">
        <f aca="false">IFERROR(SUMPRODUCT(C9:C11,E9:E11)/C12,0)</f>
        <v>71.7</v>
      </c>
      <c r="F12" s="20" t="n">
        <f aca="false">IFERROR(SUMPRODUCT(C9:C11,F9:F11)/C12,0)</f>
        <v>0.687857142857143</v>
      </c>
      <c r="G12" s="19" t="n">
        <f aca="false">IFERROR(SUMPRODUCT(C9:C11,G9:G11)/C12,0)</f>
        <v>20.1</v>
      </c>
      <c r="H12" s="20" t="n">
        <f aca="false">IFERROR(SUMPRODUCT(C9:C11,H9:H11)/C12,0)</f>
        <v>0.136936611422516</v>
      </c>
      <c r="I12" s="20" t="n">
        <f aca="false">IFERROR(SUMPRODUCT(C9:C11,I9:I11)/C12,0)</f>
        <v>0.2</v>
      </c>
      <c r="J12" s="21" t="n">
        <f aca="false">IFERROR(SUMPRODUCT(C9:C11,J9:J11)/C12,0)</f>
        <v>324.5</v>
      </c>
    </row>
    <row r="13" customFormat="false" ht="15" hidden="false" customHeight="false" outlineLevel="0" collapsed="false">
      <c r="A13" s="12" t="s">
        <v>76</v>
      </c>
    </row>
    <row r="15" customFormat="false" ht="15" hidden="false" customHeight="false" outlineLevel="0" collapsed="false">
      <c r="A15" s="9" t="s">
        <v>77</v>
      </c>
    </row>
    <row r="16" customFormat="false" ht="15" hidden="false" customHeight="false" outlineLevel="0" collapsed="false">
      <c r="A16" s="10" t="s">
        <v>78</v>
      </c>
      <c r="B16" s="22" t="n">
        <f aca="false">D12</f>
        <v>0.833333333333333</v>
      </c>
    </row>
    <row r="17" customFormat="false" ht="15" hidden="false" customHeight="false" outlineLevel="0" collapsed="false">
      <c r="A17" s="10" t="s">
        <v>79</v>
      </c>
      <c r="B17" s="22" t="n">
        <f aca="false">F12</f>
        <v>0.687857142857143</v>
      </c>
    </row>
    <row r="18" customFormat="false" ht="15" hidden="false" customHeight="false" outlineLevel="0" collapsed="false">
      <c r="A18" s="10" t="s">
        <v>80</v>
      </c>
      <c r="B18" s="22" t="n">
        <f aca="false">H12</f>
        <v>0.136936611422516</v>
      </c>
    </row>
    <row r="19" customFormat="false" ht="15" hidden="false" customHeight="false" outlineLevel="0" collapsed="false">
      <c r="A19" s="10" t="s">
        <v>81</v>
      </c>
      <c r="B19" s="23" t="n">
        <f aca="false">J12</f>
        <v>324.5</v>
      </c>
    </row>
    <row r="20" customFormat="false" ht="15" hidden="false" customHeight="false" outlineLevel="0" collapsed="false">
      <c r="A20" s="10" t="s">
        <v>82</v>
      </c>
      <c r="B20" s="22" t="n">
        <f aca="false">I12</f>
        <v>0.2</v>
      </c>
    </row>
    <row r="22" customFormat="false" ht="15" hidden="false" customHeight="false" outlineLevel="0" collapsed="false">
      <c r="A22" s="1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2026-07-20T06:33:36Z</dcterms:created>
  <dc:creator>openpyxl</dc:creator>
  <dc:description/>
  <dc:language>en-US</dc:language>
  <cp:lastModifiedBy/>
  <dcterms:modified xsi:type="dcterms:W3CDTF">2026-07-20T06:33:36Z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