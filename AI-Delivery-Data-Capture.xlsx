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bject_Log" sheetId="2" state="visible" r:id="rId4"/>
    <sheet name="Dashboard" sheetId="3" state="visible" r:id="rId5"/>
    <sheet name="Customer_Extract" sheetId="4" state="visible" r:id="rId6"/>
    <sheet name="Deal_Log" sheetId="5" state="visible" r:id="rId7"/>
    <sheet name="Service_Log" sheetId="6" state="visible" r:id="rId8"/>
    <sheet name="Contract_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<sst xmlns="http://schemas.openxmlformats.org/spreadsheetml/2006/main" count="721" uniqueCount="308">
  <si>
    <t xml:space="preserve">AI DELIVERY DATA CAPTURE — PER-UNIT EVIDENCE SPINE</t>
  </si>
  <si>
    <t xml:space="preserve">Purpose: turn AI-delivery assumptions (c, e, q, tokens, rework, warranty) into measured, auditable actuals per unit of work,</t>
  </si>
  <si>
    <t xml:space="preserve">complexity class and toolchain configuration. These values feed the pricing calculator and are the evidence base for published tier prices.</t>
  </si>
  <si>
    <t xml:space="preserve">SHEET DIRECTORY</t>
  </si>
  <si>
    <t xml:space="preserve">Object_Log — one row per unit of delivery work (the core log). Grey SAMPLE-* rows are demo data: delete before live use.</t>
  </si>
  <si>
    <t xml:space="preserve">Dashboard — measured c/e/q/rework/warranty/tokens per class, partner-stack vs vanilla-control uplift, and the evidence-gated calculator transfer block.</t>
  </si>
  <si>
    <t xml:space="preserve">Customer_Extract — the per-engagement closeout extract delivered to the customer (no tokens, models, costs or margins).</t>
  </si>
  <si>
    <t xml:space="preserve">Deal_Log — quotes, competitor prices and win/loss outcomes, so the value anchor recalibrates from market observations.</t>
  </si>
  <si>
    <t xml:space="preserve">Service_Log / Contract_Log — recurring-service delivery and contract outcomes: the measured cost-to-serve evidence required before quoting subscriptions.</t>
  </si>
  <si>
    <t xml:space="preserve">HOW TO USE</t>
  </si>
  <si>
    <t xml:space="preserve">1. During delivery, log one row per unit of work on Object_Log. Use the dropdowns — free text breaks the Dashboard formulas.</t>
  </si>
  <si>
    <t xml:space="preserve">2. Toolchain column: log normal delivery as 'Partner stack'. During Wave 1, also deliver a matched control sample (~30–50 units mirroring the class mix)</t>
  </si>
  <si>
    <t xml:space="preserve">   with the same model tier but generic prompting and no accelerators, logged as 'Vanilla control'. The Dashboard's uplift delta (Panel B) isolates what</t>
  </si>
  <si>
    <t xml:space="preserve">   the partner tooling adds over a vanilla model — that delta, not blended c/e/q, is the evidence behind any platform-IP claim.</t>
  </si>
  <si>
    <t xml:space="preserve">3. Config Version: bump it (and record it on every row) whenever the model snapshot, prompt pack or agent toolchain changes. Panel C and the calculator</t>
  </si>
  <si>
    <t xml:space="preserve">   transfer block use ONLY rows at the current config version — a model or prompt change resets the per-class evidence counts.</t>
  </si>
  <si>
    <t xml:space="preserve">4. Disposition: units confirmed unused (SCMON/UPL evidence) are marked 'Decommission' and excluded from coverage metrics — customers are never charged</t>
  </si>
  <si>
    <t xml:space="preserve">   remediation rates for code they no longer run.</t>
  </si>
  <si>
    <t xml:space="preserve">5. The transfer block only releases values when the evidence gate passes: ≥ the minimum units per class at the current config, no SAMPLE-* rows present,</t>
  </si>
  <si>
    <t xml:space="preserve">   and blended rework at or below the policy target. Until then it reads INSUFFICIENT EVIDENCE — quotes must not be priced on it.</t>
  </si>
  <si>
    <t xml:space="preserve">6. At engagement closeout, set the Engagement ID on Customer_Extract and deliver that sheet to the customer.</t>
  </si>
  <si>
    <t xml:space="preserve">7. Segregation of duties: Logged By and Countersigned By must be different people — the reviewer countersigns each row, because the people a</t>
  </si>
  <si>
    <t xml:space="preserve">   productivity metric threatens cannot be its sole reporters. Token Source records whether token counts came from the provider's API export or manual entry.</t>
  </si>
  <si>
    <t xml:space="preserve">EVIDENCE &amp; STATISTICAL POLICY</t>
  </si>
  <si>
    <t xml:space="preserve">Per-class values are treated as defensible from ~150 units per class at the current config version, drawn from ≥2 projects and ≥2 customers.</t>
  </si>
  <si>
    <t xml:space="preserve">A model, prompt or toolchain change starts a new config version and new counts. Blended (ALL-UNITS) e and q are weighted by baseline minutes,</t>
  </si>
  <si>
    <t xml:space="preserve">not unit counts — count-weighting overstates effort reduction when the mix skews simple. Rework is reported per AI-handled unit under the</t>
  </si>
  <si>
    <t xml:space="preserve">100%-senior-review regime that applies until rework is sustained below the policy target.</t>
  </si>
  <si>
    <t xml:space="preserve">Transfers to the calculator MUST include the measured rework and warranty rates — the calculator's gates block value pricing while measured rework</t>
  </si>
  <si>
    <t xml:space="preserve">exceeds the QA-exit target, and every quote is stamped with its evidence grade (preset assumption / pilot sample / measured 500+).</t>
  </si>
  <si>
    <t xml:space="preserve">DATA OWNERSHIP &amp; USE</t>
  </si>
  <si>
    <t xml:space="preserve">Per-unit telemetry is engagement data governed by the contract's data-rights clause. The customer receives its engagement extract (Customer_Extract)</t>
  </si>
  <si>
    <t xml:space="preserve">at closeout. The partner retains only anonymized, customer-deidentified aggregates for cross-engagement benchmarking. Customer-identifiable metrics</t>
  </si>
  <si>
    <t xml:space="preserve">are never disclosed to third parties.</t>
  </si>
  <si>
    <t xml:space="preserve">LEGEND</t>
  </si>
  <si>
    <t xml:space="preserve">Yellow-filled, blue-text cells = inputs you can edit (baselines, current config version, policy thresholds, extract Engagement ID).</t>
  </si>
  <si>
    <t xml:space="preserve">White cells on the log sheets = data entry, one row per unit/quote/service event. Black-text Dashboard cells = formulas, do not edit.</t>
  </si>
  <si>
    <t xml:space="preserve">DEFINITIONS (match the pricing framework and calculator)</t>
  </si>
  <si>
    <t xml:space="preserve">c — AI coverage: share of in-scope units (Disposition ≠ Decommission) where AI Handled = Y.</t>
  </si>
  <si>
    <t xml:space="preserve">e — Effort reduction: 1 − (avg AI + human minutes on AI-handled units) ÷ baseline minutes for that class.</t>
  </si>
  <si>
    <t xml:space="preserve">q — QA add-back: avg senior review minutes ÷ minutes saved (baseline − AI − human), on AI-handled units.</t>
  </si>
  <si>
    <t xml:space="preserve">Rework rate: share of AI-handled units flagged Rework = Y (failed ATC or regression before customer acceptance).</t>
  </si>
  <si>
    <t xml:space="preserve">Warranty claim rate: share of AI-handled units with a post-acceptance Warranty Incident = Y.</t>
  </si>
  <si>
    <t xml:space="preserve">Tokens are logged and transferred as separate input and output values — the calculator prices them at different rates.</t>
  </si>
  <si>
    <t xml:space="preserve">Calculator mapping: c → AI coverage · e → effort reduction · q → QA add-back · tokens in/out → per-unit token inputs ·</t>
  </si>
  <si>
    <t xml:space="preserve">rework/warranty rows → the quality &amp; warranty reserve inputs · per-class columns → the complexity-tier table.</t>
  </si>
  <si>
    <t xml:space="preserve">Unit ID</t>
  </si>
  <si>
    <t xml:space="preserve">Quote ID</t>
  </si>
  <si>
    <t xml:space="preserve">Engagement ID</t>
  </si>
  <si>
    <t xml:space="preserve">Customer ID</t>
  </si>
  <si>
    <t xml:space="preserve">Date Completed</t>
  </si>
  <si>
    <t xml:space="preserve">Unit Type</t>
  </si>
  <si>
    <t xml:space="preserve">Initial Complexity</t>
  </si>
  <si>
    <t xml:space="preserve">Final Complexity</t>
  </si>
  <si>
    <t xml:space="preserve">Classification Rationale</t>
  </si>
  <si>
    <t xml:space="preserve">Reclassified By</t>
  </si>
  <si>
    <t xml:space="preserve">ATC Check ID</t>
  </si>
  <si>
    <t xml:space="preserve">Usage Status</t>
  </si>
  <si>
    <t xml:space="preserve">Disposition</t>
  </si>
  <si>
    <t xml:space="preserve">Toolchain</t>
  </si>
  <si>
    <t xml:space="preserve">AI Attempted (Y/N)</t>
  </si>
  <si>
    <t xml:space="preserve">AI Handled (Y/N)</t>
  </si>
  <si>
    <t xml:space="preserve">AI Minutes</t>
  </si>
  <si>
    <t xml:space="preserve">Human Minutes</t>
  </si>
  <si>
    <t xml:space="preserve">Review Minutes</t>
  </si>
  <si>
    <t xml:space="preserve">First-Pass Accept (Y/N)</t>
  </si>
  <si>
    <t xml:space="preserve">Rework (Y/N)</t>
  </si>
  <si>
    <t xml:space="preserve">Rework Minutes</t>
  </si>
  <si>
    <t xml:space="preserve">Rework Cycles</t>
  </si>
  <si>
    <t xml:space="preserve">Root Cause</t>
  </si>
  <si>
    <t xml:space="preserve">Warranty Incident (Y/N)</t>
  </si>
  <si>
    <t xml:space="preserve">Warranty Minutes</t>
  </si>
  <si>
    <t xml:space="preserve">Regression Result</t>
  </si>
  <si>
    <t xml:space="preserve">Customer Sign-off Date</t>
  </si>
  <si>
    <t xml:space="preserve">Provider</t>
  </si>
  <si>
    <t xml:space="preserve">Model + Version</t>
  </si>
  <si>
    <t xml:space="preserve">Model Tier</t>
  </si>
  <si>
    <t xml:space="preserve">Config Version</t>
  </si>
  <si>
    <t xml:space="preserve">Agent Version</t>
  </si>
  <si>
    <t xml:space="preserve">Retry Count</t>
  </si>
  <si>
    <t xml:space="preserve">Tokens In (K)</t>
  </si>
  <si>
    <t xml:space="preserve">Tokens Out (K)</t>
  </si>
  <si>
    <t xml:space="preserve">Token Source</t>
  </si>
  <si>
    <t xml:space="preserve">Logged By</t>
  </si>
  <si>
    <t xml:space="preserve">Countersigned By</t>
  </si>
  <si>
    <t xml:space="preserve">Notes</t>
  </si>
  <si>
    <t xml:space="preserve">SAMPLE-001</t>
  </si>
  <si>
    <t xml:space="preserve">SAMPLE-Q1</t>
  </si>
  <si>
    <t xml:space="preserve">SAMPLE-ENG1</t>
  </si>
  <si>
    <t xml:space="preserve">SAMPLE-CUST1</t>
  </si>
  <si>
    <t xml:space="preserve">2026-06-15</t>
  </si>
  <si>
    <t xml:space="preserve">Report</t>
  </si>
  <si>
    <t xml:space="preserve">Simple</t>
  </si>
  <si>
    <t xml:space="preserve">ATC severity</t>
  </si>
  <si>
    <t xml:space="preserve">ATC-0451</t>
  </si>
  <si>
    <t xml:space="preserve">Active</t>
  </si>
  <si>
    <t xml:space="preserve">Remediate</t>
  </si>
  <si>
    <t xml:space="preserve">Partner stack</t>
  </si>
  <si>
    <t xml:space="preserve">Y</t>
  </si>
  <si>
    <t xml:space="preserve">N</t>
  </si>
  <si>
    <t xml:space="preserve">Pass</t>
  </si>
  <si>
    <t xml:space="preserve">2026-06-20</t>
  </si>
  <si>
    <t xml:space="preserve">Anthropic</t>
  </si>
  <si>
    <t xml:space="preserve">Sonnet 4.6 (2026-05)</t>
  </si>
  <si>
    <t xml:space="preserve">Workhorse</t>
  </si>
  <si>
    <t xml:space="preserve">v1.3</t>
  </si>
  <si>
    <t xml:space="preserve">v0.9</t>
  </si>
  <si>
    <t xml:space="preserve">API export</t>
  </si>
  <si>
    <t xml:space="preserve">SAMPLE-DEV1</t>
  </si>
  <si>
    <t xml:space="preserve">SAMPLE-QA1</t>
  </si>
  <si>
    <t xml:space="preserve">obsolete WRITE stmts</t>
  </si>
  <si>
    <t xml:space="preserve">SAMPLE-002</t>
  </si>
  <si>
    <t xml:space="preserve">ATC-0452</t>
  </si>
  <si>
    <t xml:space="preserve">Dormant</t>
  </si>
  <si>
    <t xml:space="preserve">SAMPLE-003</t>
  </si>
  <si>
    <t xml:space="preserve">2026-06-16</t>
  </si>
  <si>
    <t xml:space="preserve">Include</t>
  </si>
  <si>
    <t xml:space="preserve">Code volume</t>
  </si>
  <si>
    <t xml:space="preserve">ATC-0460</t>
  </si>
  <si>
    <t xml:space="preserve">2026-06-22</t>
  </si>
  <si>
    <t xml:space="preserve">SAMPLE-004</t>
  </si>
  <si>
    <t xml:space="preserve">2026-06-17</t>
  </si>
  <si>
    <t xml:space="preserve">Function</t>
  </si>
  <si>
    <t xml:space="preserve">ATC-0465</t>
  </si>
  <si>
    <t xml:space="preserve">AI error</t>
  </si>
  <si>
    <t xml:space="preserve">Fail</t>
  </si>
  <si>
    <t xml:space="preserve">2026-06-25</t>
  </si>
  <si>
    <t xml:space="preserve">regression fail, fixed</t>
  </si>
  <si>
    <t xml:space="preserve">SAMPLE-005</t>
  </si>
  <si>
    <t xml:space="preserve">2026-06-18</t>
  </si>
  <si>
    <t xml:space="preserve">Medium</t>
  </si>
  <si>
    <t xml:space="preserve">Dependency count</t>
  </si>
  <si>
    <t xml:space="preserve">ATC-0470</t>
  </si>
  <si>
    <t xml:space="preserve">2026-06-26</t>
  </si>
  <si>
    <t xml:space="preserve">SELECT * rework; warranty fix post-acceptance</t>
  </si>
  <si>
    <t xml:space="preserve">SAMPLE-006</t>
  </si>
  <si>
    <t xml:space="preserve">2026-06-19</t>
  </si>
  <si>
    <t xml:space="preserve">Class</t>
  </si>
  <si>
    <t xml:space="preserve">ATC-0472</t>
  </si>
  <si>
    <t xml:space="preserve">2026-06-27</t>
  </si>
  <si>
    <t xml:space="preserve">SAMPLE-007</t>
  </si>
  <si>
    <t xml:space="preserve">ATC-0475</t>
  </si>
  <si>
    <t xml:space="preserve">SAMPLE-008</t>
  </si>
  <si>
    <t xml:space="preserve">ATC-0480</t>
  </si>
  <si>
    <t xml:space="preserve">Integration</t>
  </si>
  <si>
    <t xml:space="preserve">2026-06-30</t>
  </si>
  <si>
    <t xml:space="preserve">Opus 4.8 (2026-06)</t>
  </si>
  <si>
    <t xml:space="preserve">Frontier</t>
  </si>
  <si>
    <t xml:space="preserve">complex joins</t>
  </si>
  <si>
    <t xml:space="preserve">SAMPLE-009</t>
  </si>
  <si>
    <t xml:space="preserve">Enhancement</t>
  </si>
  <si>
    <t xml:space="preserve">Complex</t>
  </si>
  <si>
    <t xml:space="preserve">Joint review</t>
  </si>
  <si>
    <t xml:space="preserve">ATC-0483</t>
  </si>
  <si>
    <t xml:space="preserve">2026-07-02</t>
  </si>
  <si>
    <t xml:space="preserve">reclassified up at joint review</t>
  </si>
  <si>
    <t xml:space="preserve">SAMPLE-010</t>
  </si>
  <si>
    <t xml:space="preserve">2026-06-23</t>
  </si>
  <si>
    <t xml:space="preserve">Manual judgment</t>
  </si>
  <si>
    <t xml:space="preserve">ATC-0485</t>
  </si>
  <si>
    <t xml:space="preserve">2026-07-03</t>
  </si>
  <si>
    <t xml:space="preserve">manual — user exit logic</t>
  </si>
  <si>
    <t xml:space="preserve">SAMPLE-011</t>
  </si>
  <si>
    <t xml:space="preserve">2026-06-24</t>
  </si>
  <si>
    <t xml:space="preserve">Interface</t>
  </si>
  <si>
    <t xml:space="preserve">ATC-0488</t>
  </si>
  <si>
    <t xml:space="preserve">Rewrite</t>
  </si>
  <si>
    <t xml:space="preserve">2026-07-05</t>
  </si>
  <si>
    <t xml:space="preserve">AI attempt abandoned — redesign</t>
  </si>
  <si>
    <t xml:space="preserve">SAMPLE-012</t>
  </si>
  <si>
    <t xml:space="preserve">ATC-0490</t>
  </si>
  <si>
    <t xml:space="preserve">2026-07-06</t>
  </si>
  <si>
    <t xml:space="preserve">SAMPLE-013</t>
  </si>
  <si>
    <t xml:space="preserve">ATC-0493</t>
  </si>
  <si>
    <t xml:space="preserve">Dead</t>
  </si>
  <si>
    <t xml:space="preserve">Decommission</t>
  </si>
  <si>
    <t xml:space="preserve">N/A</t>
  </si>
  <si>
    <t xml:space="preserve">no usage in 18 months — deleted, not remediated</t>
  </si>
  <si>
    <t xml:space="preserve">SAMPLE-C01</t>
  </si>
  <si>
    <t xml:space="preserve">2026-06-28</t>
  </si>
  <si>
    <t xml:space="preserve">ATC-0495</t>
  </si>
  <si>
    <t xml:space="preserve">Vanilla control</t>
  </si>
  <si>
    <t xml:space="preserve">2026-07-08</t>
  </si>
  <si>
    <t xml:space="preserve">generic-v1</t>
  </si>
  <si>
    <t xml:space="preserve">n/a</t>
  </si>
  <si>
    <t xml:space="preserve">control: generic prompts, no accelerators</t>
  </si>
  <si>
    <t xml:space="preserve">SAMPLE-C02</t>
  </si>
  <si>
    <t xml:space="preserve">2026-06-29</t>
  </si>
  <si>
    <t xml:space="preserve">ATC-0497</t>
  </si>
  <si>
    <t xml:space="preserve">2026-07-09</t>
  </si>
  <si>
    <t xml:space="preserve">control sample</t>
  </si>
  <si>
    <t xml:space="preserve">SAMPLE-C03</t>
  </si>
  <si>
    <t xml:space="preserve">ATC-0499</t>
  </si>
  <si>
    <t xml:space="preserve">2026-07-10</t>
  </si>
  <si>
    <t xml:space="preserve">AI DELIVERY DASHBOARD — MEASURED c, e, q, REWORK, WARRANTY, UPLIFT</t>
  </si>
  <si>
    <t xml:space="preserve">All figures compute live from Object_Log. Black cells are formulas — do not edit. Decommissioned units are excluded from coverage metrics.</t>
  </si>
  <si>
    <t xml:space="preserve">POLICY INPUTS — edit the yellow cells</t>
  </si>
  <si>
    <t xml:space="preserve">Baseline min: Simple</t>
  </si>
  <si>
    <t xml:space="preserve">Source: case-example standards (blended 3.5 hrs/object). Replace with your own pre-AI effort norms.</t>
  </si>
  <si>
    <t xml:space="preserve">Current config version</t>
  </si>
  <si>
    <t xml:space="preserve">Min units/class (pricing)</t>
  </si>
  <si>
    <t xml:space="preserve">Rework target (blended)</t>
  </si>
  <si>
    <t xml:space="preserve">PANEL A — PARTNER STACK · ALL CONFIG VERSIONS (per complexity class)</t>
  </si>
  <si>
    <t xml:space="preserve">Units</t>
  </si>
  <si>
    <t xml:space="preserve">AI-handled</t>
  </si>
  <si>
    <t xml:space="preserve">c — coverage</t>
  </si>
  <si>
    <t xml:space="preserve">Avg AI+human min</t>
  </si>
  <si>
    <t xml:space="preserve">e — effort reduction</t>
  </si>
  <si>
    <t xml:space="preserve">Avg review min</t>
  </si>
  <si>
    <t xml:space="preserve">q — QA add-back</t>
  </si>
  <si>
    <t xml:space="preserve">Rework rate</t>
  </si>
  <si>
    <t xml:space="preserve">Avg rework min</t>
  </si>
  <si>
    <t xml:space="preserve">Warranty claim rate</t>
  </si>
  <si>
    <t xml:space="preserve">Tokens in K/unit</t>
  </si>
  <si>
    <t xml:space="preserve">Tokens out K/unit</t>
  </si>
  <si>
    <t xml:space="preserve">ALL UNITS (minute-weighted)</t>
  </si>
  <si>
    <t xml:space="preserve">Blended e and q are weighted by baseline minutes (economic weighting) — count-weighting overstates savings when the mix skews simple. Rework is shown per AI-handled unit under 100% senior review.</t>
  </si>
  <si>
    <t xml:space="preserve">PANEL B — VANILLA CONTROL &amp; TOOLING UPLIFT (Δ = partner − control; for q/rework/tokens a negative Δ is better)</t>
  </si>
  <si>
    <t xml:space="preserve">Tokens K/unit (in+out)</t>
  </si>
  <si>
    <t xml:space="preserve">Δe uplift</t>
  </si>
  <si>
    <t xml:space="preserve">Δq</t>
  </si>
  <si>
    <t xml:space="preserve">Δ rework</t>
  </si>
  <si>
    <t xml:space="preserve">Δ tokens K</t>
  </si>
  <si>
    <t xml:space="preserve">Control protocol: deliver a matched sample (~30–50 units mirroring the class mix) with the same model tier, generic prompting, no accelerators. The Δ columns are the measured value of the partner toolchain — the evidence behind any platform-IP or licensing claim.</t>
  </si>
  <si>
    <t xml:space="preserve">PANEL C — CURRENT CONFIG VERSION ONLY · PARTNER STACK (feeds the calculator)</t>
  </si>
  <si>
    <t xml:space="preserve">Fresh units</t>
  </si>
  <si>
    <t xml:space="preserve">Status</t>
  </si>
  <si>
    <t xml:space="preserve">BLENDED (minute-weighted)</t>
  </si>
  <si>
    <t xml:space="preserve">SCOPE &amp; CLASSIFICATION INTEGRITY</t>
  </si>
  <si>
    <t xml:space="preserve">Units reclassified (initial ≠ final)</t>
  </si>
  <si>
    <t xml:space="preserve">of which upgraded</t>
  </si>
  <si>
    <t xml:space="preserve">Distinct engagements logged</t>
  </si>
  <si>
    <t xml:space="preserve">Decommission share of logged units</t>
  </si>
  <si>
    <t xml:space="preserve">Avg min/decommissioned unit</t>
  </si>
  <si>
    <t xml:space="preserve">Distinct customers logged</t>
  </si>
  <si>
    <t xml:space="preserve">First-pass acceptance rate (AI-handled)</t>
  </si>
  <si>
    <t xml:space="preserve">AI attempted but abandoned</t>
  </si>
  <si>
    <t xml:space="preserve">VALUES FOR THE PRICING CALCULATOR — current config only, evidence-gated</t>
  </si>
  <si>
    <t xml:space="preserve">Parameter</t>
  </si>
  <si>
    <t xml:space="preserve">Blended (min-wtd)</t>
  </si>
  <si>
    <t xml:space="preserve">AI coverage  c</t>
  </si>
  <si>
    <t xml:space="preserve">Effort reduction  e</t>
  </si>
  <si>
    <t xml:space="preserve">QA add-back  q</t>
  </si>
  <si>
    <t xml:space="preserve">Tokens in per covered unit (K)</t>
  </si>
  <si>
    <t xml:space="preserve">Tokens out per covered unit (K)</t>
  </si>
  <si>
    <t xml:space="preserve">Rework rate (100% senior review until sustained &lt; target)</t>
  </si>
  <si>
    <t xml:space="preserve">Avg rework minutes per reworked unit</t>
  </si>
  <si>
    <t xml:space="preserve">Data status</t>
  </si>
  <si>
    <t xml:space="preserve">Evidence status</t>
  </si>
  <si>
    <t xml:space="preserve">Readiness flag (drives the block above)</t>
  </si>
  <si>
    <t xml:space="preserve">Statistical note: treat per-class values as defensible from ~150 units per class at the current config version, from ≥2 projects and ≥2 customers. A model, prompt or toolchain change bumps the config version and restarts the counts.</t>
  </si>
  <si>
    <t xml:space="preserve">CUSTOMER ENGAGEMENT EXTRACT — CLOSEOUT DELIVERABLE</t>
  </si>
  <si>
    <t xml:space="preserve">Per-engagement delivery evidence for the customer: the audit trail behind the rework warranty and the gain-share claim.</t>
  </si>
  <si>
    <t xml:space="preserve">Units delivered</t>
  </si>
  <si>
    <t xml:space="preserve">AI-covered share</t>
  </si>
  <si>
    <t xml:space="preserve">Avg delivery min/unit</t>
  </si>
  <si>
    <t xml:space="preserve">Effort reduction vs agreed baseline</t>
  </si>
  <si>
    <t xml:space="preserve">First-pass rate</t>
  </si>
  <si>
    <t xml:space="preserve">Warranty incidents</t>
  </si>
  <si>
    <t xml:space="preserve">ALL</t>
  </si>
  <si>
    <t xml:space="preserve">Also delivered: units decommissioned instead of remediated (never charged at remediation rates):</t>
  </si>
  <si>
    <t xml:space="preserve">This extract contains no token, model, cost, rate or margin data. Per-unit telemetry is engagement data under the contract's data-rights clause; the partner retains only anonymized, deidentified aggregates for benchmarking.</t>
  </si>
  <si>
    <t xml:space="preserve">Date</t>
  </si>
  <si>
    <t xml:space="preserve">Offering</t>
  </si>
  <si>
    <t xml:space="preserve">Competitor type</t>
  </si>
  <si>
    <t xml:space="preserve">Competitor price/unit ($)</t>
  </si>
  <si>
    <t xml:space="preserve">Our price/unit ($)</t>
  </si>
  <si>
    <t xml:space="preserve">Outcome</t>
  </si>
  <si>
    <t xml:space="preserve">Loss reason</t>
  </si>
  <si>
    <t xml:space="preserve">2026-07-01</t>
  </si>
  <si>
    <t xml:space="preserve">Custom code remediation</t>
  </si>
  <si>
    <t xml:space="preserve">Offshore T&amp;M</t>
  </si>
  <si>
    <t xml:space="preserve">Won</t>
  </si>
  <si>
    <t xml:space="preserve">won on speed + warranty despite higher unit price</t>
  </si>
  <si>
    <t xml:space="preserve">SAMPLE-Q2</t>
  </si>
  <si>
    <t xml:space="preserve">SAMPLE-CUST2</t>
  </si>
  <si>
    <t xml:space="preserve">Test script automation</t>
  </si>
  <si>
    <t xml:space="preserve">AI-native</t>
  </si>
  <si>
    <t xml:space="preserve">Lost</t>
  </si>
  <si>
    <t xml:space="preserve">Price — AI-native bid far below floor</t>
  </si>
  <si>
    <t xml:space="preserve">validated alternative was the competing bid, not our rate card</t>
  </si>
  <si>
    <t xml:space="preserve">MARKET CALIBRATION (computes live)</t>
  </si>
  <si>
    <t xml:space="preserve">Win rate (decided quotes)</t>
  </si>
  <si>
    <t xml:space="preserve">Avg competing price/unit — AI-native</t>
  </si>
  <si>
    <t xml:space="preserve">Avg competing price/unit — Offshore T&amp;M</t>
  </si>
  <si>
    <t xml:space="preserve">Avg competing price/unit — Incumbent renewal</t>
  </si>
  <si>
    <t xml:space="preserve">Avg competing price/unit — Internal team</t>
  </si>
  <si>
    <t xml:space="preserve">Use these observed prices — not the internal rate card — as the validated customer alternative in the calculator's anchor block.</t>
  </si>
  <si>
    <t xml:space="preserve">Period (YYYY-MM)</t>
  </si>
  <si>
    <t xml:space="preserve">Contract ID</t>
  </si>
  <si>
    <t xml:space="preserve">Service type</t>
  </si>
  <si>
    <t xml:space="preserve">2026-07</t>
  </si>
  <si>
    <t xml:space="preserve">SAMPLE-CT1</t>
  </si>
  <si>
    <t xml:space="preserve">AMS ticket resolved</t>
  </si>
  <si>
    <t xml:space="preserve">P3 incident</t>
  </si>
  <si>
    <t xml:space="preserve">Monitoring alert triaged</t>
  </si>
  <si>
    <t xml:space="preserve">Start date</t>
  </si>
  <si>
    <t xml:space="preserve">Term (months)</t>
  </si>
  <si>
    <t xml:space="preserve">Annual fee ($)</t>
  </si>
  <si>
    <t xml:space="preserve">Included units/yr</t>
  </si>
  <si>
    <t xml:space="preserve">Renewal outcome</t>
  </si>
  <si>
    <t xml:space="preserve">Units consumed (logged)</t>
  </si>
  <si>
    <t xml:space="preserve">Support minutes (logged)</t>
  </si>
  <si>
    <t xml:space="preserve">Minutes per unit</t>
  </si>
  <si>
    <t xml:space="preserve">Pending</t>
  </si>
  <si>
    <t xml:space="preserve">SUBSCRIPTION EVIDENCE (computes live)</t>
  </si>
  <si>
    <t xml:space="preserve">Gross renewal rate (decided contracts)</t>
  </si>
  <si>
    <t xml:space="preserve">Subscription offers are quoted only from measured cost-to-serve and observed renewals — treat as defensible from ~12 contract-months across ≥5 contracts. Until then the calculator's subscription fields are unevidenced heuristics.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</si>
</sst>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"/>
    <numFmt numFmtId="168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6243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77F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B7A9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43D"/>
        <bgColor rgb="FF003366"/>
      </patternFill>
    </fill>
    <fill>
      <patternFill patternType="solid">
        <fgColor rgb="FF3C4C66"/>
        <bgColor rgb="FF666699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3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F1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C4C66"/>
      <rgbColor rgb="FF1624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2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2" t="s">
        <v>10</v>
      </c>
    </row>
    <row r="14" customFormat="false" ht="15" hidden="false" customHeight="false" outlineLevel="0" collapsed="false">
      <c r="B14" s="2" t="s">
        <v>11</v>
      </c>
    </row>
    <row r="15" customFormat="false" ht="15" hidden="false" customHeight="false" outlineLevel="0" collapsed="false">
      <c r="B15" s="2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2" t="s">
        <v>17</v>
      </c>
    </row>
    <row r="21" customFormat="false" ht="15" hidden="false" customHeight="false" outlineLevel="0" collapsed="false">
      <c r="B21" s="2" t="s">
        <v>18</v>
      </c>
    </row>
    <row r="22" customFormat="false" ht="15" hidden="false" customHeight="false" outlineLevel="0" collapsed="false">
      <c r="B22" s="2" t="s">
        <v>19</v>
      </c>
    </row>
    <row r="23" customFormat="false" ht="15" hidden="false" customHeight="false" outlineLevel="0" collapsed="false">
      <c r="B23" s="2" t="s">
        <v>20</v>
      </c>
    </row>
    <row r="24" customFormat="false" ht="15" hidden="false" customHeight="false" outlineLevel="0" collapsed="false">
      <c r="B24" s="2" t="s">
        <v>21</v>
      </c>
    </row>
    <row r="25" customFormat="false" ht="15" hidden="false" customHeight="false" outlineLevel="0" collapsed="false">
      <c r="B25" s="2" t="s">
        <v>22</v>
      </c>
    </row>
    <row r="27" customFormat="false" ht="15" hidden="false" customHeight="false" outlineLevel="0" collapsed="false">
      <c r="B27" s="3" t="s">
        <v>23</v>
      </c>
    </row>
    <row r="28" customFormat="false" ht="15" hidden="false" customHeight="false" outlineLevel="0" collapsed="false">
      <c r="B28" s="2" t="s">
        <v>24</v>
      </c>
    </row>
    <row r="29" customFormat="false" ht="15" hidden="false" customHeight="false" outlineLevel="0" collapsed="false">
      <c r="B29" s="2" t="s">
        <v>25</v>
      </c>
    </row>
    <row r="30" customFormat="false" ht="15" hidden="false" customHeight="false" outlineLevel="0" collapsed="false">
      <c r="B30" s="2" t="s">
        <v>26</v>
      </c>
    </row>
    <row r="31" customFormat="false" ht="15" hidden="false" customHeight="false" outlineLevel="0" collapsed="false">
      <c r="B31" s="2" t="s">
        <v>27</v>
      </c>
    </row>
    <row r="32" customFormat="false" ht="15" hidden="false" customHeight="false" outlineLevel="0" collapsed="false">
      <c r="B32" s="2" t="s">
        <v>28</v>
      </c>
    </row>
    <row r="33" customFormat="false" ht="15" hidden="false" customHeight="false" outlineLevel="0" collapsed="false">
      <c r="B33" s="2" t="s">
        <v>29</v>
      </c>
    </row>
    <row r="35" customFormat="false" ht="15" hidden="false" customHeight="false" outlineLevel="0" collapsed="false">
      <c r="B35" s="3" t="s">
        <v>30</v>
      </c>
    </row>
    <row r="36" customFormat="false" ht="15" hidden="false" customHeight="false" outlineLevel="0" collapsed="false">
      <c r="B36" s="2" t="s">
        <v>31</v>
      </c>
    </row>
    <row r="37" customFormat="false" ht="15" hidden="false" customHeight="false" outlineLevel="0" collapsed="false">
      <c r="B37" s="2" t="s">
        <v>32</v>
      </c>
    </row>
    <row r="38" customFormat="false" ht="15" hidden="false" customHeight="false" outlineLevel="0" collapsed="false">
      <c r="B38" s="2" t="s">
        <v>33</v>
      </c>
    </row>
    <row r="40" customFormat="false" ht="15" hidden="false" customHeight="false" outlineLevel="0" collapsed="false">
      <c r="B40" s="3" t="s">
        <v>34</v>
      </c>
    </row>
    <row r="41" customFormat="false" ht="15" hidden="false" customHeight="false" outlineLevel="0" collapsed="false">
      <c r="B41" s="2" t="s">
        <v>35</v>
      </c>
    </row>
    <row r="42" customFormat="false" ht="15" hidden="false" customHeight="false" outlineLevel="0" collapsed="false">
      <c r="B42" s="2" t="s">
        <v>36</v>
      </c>
    </row>
    <row r="44" customFormat="false" ht="15" hidden="false" customHeight="false" outlineLevel="0" collapsed="false">
      <c r="B44" s="3" t="s">
        <v>37</v>
      </c>
    </row>
    <row r="45" customFormat="false" ht="15" hidden="false" customHeight="false" outlineLevel="0" collapsed="false">
      <c r="B45" s="2" t="s">
        <v>38</v>
      </c>
    </row>
    <row r="46" customFormat="false" ht="15" hidden="false" customHeight="false" outlineLevel="0" collapsed="false">
      <c r="B46" s="2" t="s">
        <v>39</v>
      </c>
    </row>
    <row r="47" customFormat="false" ht="15" hidden="false" customHeight="false" outlineLevel="0" collapsed="false">
      <c r="B47" s="2" t="s">
        <v>40</v>
      </c>
    </row>
    <row r="48" customFormat="false" ht="15" hidden="false" customHeight="false" outlineLevel="0" collapsed="false">
      <c r="B48" s="2" t="s">
        <v>41</v>
      </c>
    </row>
    <row r="49" customFormat="false" ht="15" hidden="false" customHeight="false" outlineLevel="0" collapsed="false">
      <c r="B49" s="2" t="s">
        <v>42</v>
      </c>
    </row>
    <row r="50" customFormat="false" ht="15" hidden="false" customHeight="false" outlineLevel="0" collapsed="false">
      <c r="B50" s="2" t="s">
        <v>43</v>
      </c>
    </row>
    <row r="51" customFormat="false" ht="15" hidden="false" customHeight="false" outlineLevel="0" collapsed="false">
      <c r="B51" s="2" t="s">
        <v>44</v>
      </c>
    </row>
    <row r="52" customFormat="false" ht="15" hidden="false" customHeight="false" outlineLevel="0" collapsed="false">
      <c r="B52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5" min="3" style="0" width="13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9" min="17" style="0" width="9"/>
    <col collapsed="false" customWidth="true" hidden="false" outlineLevel="0" max="20" min="20" style="0" width="10"/>
    <col collapsed="false" customWidth="true" hidden="false" outlineLevel="0" max="23" min="21" style="0" width="9"/>
    <col collapsed="false" customWidth="true" hidden="false" outlineLevel="0" max="24" min="24" style="0" width="13"/>
    <col collapsed="false" customWidth="true" hidden="false" outlineLevel="0" max="26" min="25" style="0" width="10"/>
    <col collapsed="false" customWidth="true" hidden="false" outlineLevel="0" max="27" min="27" style="0" width="11"/>
    <col collapsed="false" customWidth="true" hidden="false" outlineLevel="0" max="28" min="28" style="0" width="13"/>
    <col collapsed="false" customWidth="true" hidden="false" outlineLevel="0" max="29" min="29" style="0" width="11"/>
    <col collapsed="false" customWidth="true" hidden="false" outlineLevel="0" max="30" min="30" style="0" width="18"/>
    <col collapsed="false" customWidth="true" hidden="false" outlineLevel="0" max="33" min="31" style="0" width="11"/>
    <col collapsed="false" customWidth="true" hidden="false" outlineLevel="0" max="34" min="34" style="0" width="8"/>
    <col collapsed="false" customWidth="true" hidden="false" outlineLevel="0" max="36" min="35" style="0" width="9"/>
    <col collapsed="false" customWidth="true" hidden="false" outlineLevel="0" max="38" min="37" style="0" width="11"/>
    <col collapsed="false" customWidth="true" hidden="false" outlineLevel="0" max="39" min="39" style="0" width="13"/>
    <col collapsed="false" customWidth="true" hidden="false" outlineLevel="0" max="40" min="40" style="0" width="28"/>
  </cols>
  <sheetData>
    <row r="1" customFormat="false" ht="30" hidden="false" customHeight="true" outlineLevel="0" collapsed="false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66</v>
      </c>
      <c r="V1" s="5" t="s">
        <v>67</v>
      </c>
      <c r="W1" s="5" t="s">
        <v>68</v>
      </c>
      <c r="X1" s="5" t="s">
        <v>69</v>
      </c>
      <c r="Y1" s="5" t="s">
        <v>70</v>
      </c>
      <c r="Z1" s="5" t="s">
        <v>71</v>
      </c>
      <c r="AA1" s="5" t="s">
        <v>72</v>
      </c>
      <c r="AB1" s="5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  <c r="AJ1" s="4" t="s">
        <v>81</v>
      </c>
      <c r="AK1" s="4" t="s">
        <v>82</v>
      </c>
      <c r="AL1" s="4" t="s">
        <v>83</v>
      </c>
      <c r="AM1" s="4" t="s">
        <v>84</v>
      </c>
      <c r="AN1" s="4" t="s">
        <v>85</v>
      </c>
    </row>
    <row r="2" customFormat="false" ht="15" hidden="false" customHeight="false" outlineLevel="0" collapsed="false">
      <c r="A2" s="6" t="s">
        <v>86</v>
      </c>
      <c r="B2" s="6" t="s">
        <v>87</v>
      </c>
      <c r="C2" s="6" t="s">
        <v>88</v>
      </c>
      <c r="D2" s="6" t="s">
        <v>89</v>
      </c>
      <c r="E2" s="6" t="s">
        <v>90</v>
      </c>
      <c r="F2" s="6" t="s">
        <v>91</v>
      </c>
      <c r="G2" s="6" t="s">
        <v>92</v>
      </c>
      <c r="H2" s="6" t="s">
        <v>92</v>
      </c>
      <c r="I2" s="6" t="s">
        <v>93</v>
      </c>
      <c r="J2" s="6"/>
      <c r="K2" s="6" t="s">
        <v>94</v>
      </c>
      <c r="L2" s="6" t="s">
        <v>95</v>
      </c>
      <c r="M2" s="6" t="s">
        <v>96</v>
      </c>
      <c r="N2" s="6" t="s">
        <v>97</v>
      </c>
      <c r="O2" s="6" t="s">
        <v>98</v>
      </c>
      <c r="P2" s="6" t="s">
        <v>98</v>
      </c>
      <c r="Q2" s="6" t="n">
        <v>5</v>
      </c>
      <c r="R2" s="6" t="n">
        <v>15</v>
      </c>
      <c r="S2" s="6" t="n">
        <v>8</v>
      </c>
      <c r="T2" s="6" t="s">
        <v>98</v>
      </c>
      <c r="U2" s="6" t="s">
        <v>99</v>
      </c>
      <c r="V2" s="6"/>
      <c r="W2" s="6"/>
      <c r="X2" s="6"/>
      <c r="Y2" s="6" t="s">
        <v>99</v>
      </c>
      <c r="Z2" s="6"/>
      <c r="AA2" s="6" t="s">
        <v>100</v>
      </c>
      <c r="AB2" s="6" t="s">
        <v>101</v>
      </c>
      <c r="AC2" s="6" t="s">
        <v>102</v>
      </c>
      <c r="AD2" s="6" t="s">
        <v>103</v>
      </c>
      <c r="AE2" s="6" t="s">
        <v>104</v>
      </c>
      <c r="AF2" s="6" t="s">
        <v>105</v>
      </c>
      <c r="AG2" s="6" t="s">
        <v>106</v>
      </c>
      <c r="AH2" s="6" t="n">
        <v>1</v>
      </c>
      <c r="AI2" s="6" t="n">
        <v>180</v>
      </c>
      <c r="AJ2" s="6" t="n">
        <v>25</v>
      </c>
      <c r="AK2" s="6" t="s">
        <v>107</v>
      </c>
      <c r="AL2" s="6" t="s">
        <v>108</v>
      </c>
      <c r="AM2" s="6" t="s">
        <v>109</v>
      </c>
      <c r="AN2" s="6" t="s">
        <v>110</v>
      </c>
    </row>
    <row r="3" customFormat="false" ht="15" hidden="false" customHeight="false" outlineLevel="0" collapsed="false">
      <c r="A3" s="6" t="s">
        <v>111</v>
      </c>
      <c r="B3" s="6" t="s">
        <v>87</v>
      </c>
      <c r="C3" s="6" t="s">
        <v>88</v>
      </c>
      <c r="D3" s="6" t="s">
        <v>89</v>
      </c>
      <c r="E3" s="6" t="s">
        <v>90</v>
      </c>
      <c r="F3" s="6" t="s">
        <v>91</v>
      </c>
      <c r="G3" s="6" t="s">
        <v>92</v>
      </c>
      <c r="H3" s="6" t="s">
        <v>92</v>
      </c>
      <c r="I3" s="6" t="s">
        <v>93</v>
      </c>
      <c r="J3" s="6"/>
      <c r="K3" s="6" t="s">
        <v>112</v>
      </c>
      <c r="L3" s="6" t="s">
        <v>113</v>
      </c>
      <c r="M3" s="6" t="s">
        <v>96</v>
      </c>
      <c r="N3" s="6" t="s">
        <v>97</v>
      </c>
      <c r="O3" s="6" t="s">
        <v>98</v>
      </c>
      <c r="P3" s="6" t="s">
        <v>98</v>
      </c>
      <c r="Q3" s="6" t="n">
        <v>4</v>
      </c>
      <c r="R3" s="6" t="n">
        <v>12</v>
      </c>
      <c r="S3" s="6" t="n">
        <v>6</v>
      </c>
      <c r="T3" s="6" t="s">
        <v>98</v>
      </c>
      <c r="U3" s="6" t="s">
        <v>99</v>
      </c>
      <c r="V3" s="6"/>
      <c r="W3" s="6"/>
      <c r="X3" s="6"/>
      <c r="Y3" s="6" t="s">
        <v>99</v>
      </c>
      <c r="Z3" s="6"/>
      <c r="AA3" s="6" t="s">
        <v>100</v>
      </c>
      <c r="AB3" s="6" t="s">
        <v>101</v>
      </c>
      <c r="AC3" s="6" t="s">
        <v>102</v>
      </c>
      <c r="AD3" s="6" t="s">
        <v>103</v>
      </c>
      <c r="AE3" s="6" t="s">
        <v>104</v>
      </c>
      <c r="AF3" s="6" t="s">
        <v>105</v>
      </c>
      <c r="AG3" s="6" t="s">
        <v>106</v>
      </c>
      <c r="AH3" s="6" t="n">
        <v>1</v>
      </c>
      <c r="AI3" s="6" t="n">
        <v>160</v>
      </c>
      <c r="AJ3" s="6" t="n">
        <v>22</v>
      </c>
      <c r="AK3" s="6" t="s">
        <v>107</v>
      </c>
      <c r="AL3" s="6" t="s">
        <v>108</v>
      </c>
      <c r="AM3" s="6" t="s">
        <v>109</v>
      </c>
      <c r="AN3" s="6"/>
    </row>
    <row r="4" customFormat="false" ht="15" hidden="false" customHeight="false" outlineLevel="0" collapsed="false">
      <c r="A4" s="6" t="s">
        <v>114</v>
      </c>
      <c r="B4" s="6" t="s">
        <v>87</v>
      </c>
      <c r="C4" s="6" t="s">
        <v>88</v>
      </c>
      <c r="D4" s="6" t="s">
        <v>89</v>
      </c>
      <c r="E4" s="6" t="s">
        <v>115</v>
      </c>
      <c r="F4" s="6" t="s">
        <v>116</v>
      </c>
      <c r="G4" s="6" t="s">
        <v>92</v>
      </c>
      <c r="H4" s="6" t="s">
        <v>92</v>
      </c>
      <c r="I4" s="6" t="s">
        <v>117</v>
      </c>
      <c r="J4" s="6"/>
      <c r="K4" s="6" t="s">
        <v>118</v>
      </c>
      <c r="L4" s="6" t="s">
        <v>95</v>
      </c>
      <c r="M4" s="6" t="s">
        <v>96</v>
      </c>
      <c r="N4" s="6" t="s">
        <v>97</v>
      </c>
      <c r="O4" s="6" t="s">
        <v>98</v>
      </c>
      <c r="P4" s="6" t="s">
        <v>98</v>
      </c>
      <c r="Q4" s="6" t="n">
        <v>6</v>
      </c>
      <c r="R4" s="6" t="n">
        <v>22</v>
      </c>
      <c r="S4" s="6" t="n">
        <v>9</v>
      </c>
      <c r="T4" s="6" t="s">
        <v>98</v>
      </c>
      <c r="U4" s="6" t="s">
        <v>99</v>
      </c>
      <c r="V4" s="6"/>
      <c r="W4" s="6"/>
      <c r="X4" s="6"/>
      <c r="Y4" s="6" t="s">
        <v>99</v>
      </c>
      <c r="Z4" s="6"/>
      <c r="AA4" s="6" t="s">
        <v>100</v>
      </c>
      <c r="AB4" s="6" t="s">
        <v>119</v>
      </c>
      <c r="AC4" s="6" t="s">
        <v>102</v>
      </c>
      <c r="AD4" s="6" t="s">
        <v>103</v>
      </c>
      <c r="AE4" s="6" t="s">
        <v>104</v>
      </c>
      <c r="AF4" s="6" t="s">
        <v>105</v>
      </c>
      <c r="AG4" s="6" t="s">
        <v>106</v>
      </c>
      <c r="AH4" s="6" t="n">
        <v>1</v>
      </c>
      <c r="AI4" s="6" t="n">
        <v>210</v>
      </c>
      <c r="AJ4" s="6" t="n">
        <v>30</v>
      </c>
      <c r="AK4" s="6" t="s">
        <v>107</v>
      </c>
      <c r="AL4" s="6" t="s">
        <v>108</v>
      </c>
      <c r="AM4" s="6" t="s">
        <v>109</v>
      </c>
      <c r="AN4" s="6"/>
    </row>
    <row r="5" customFormat="false" ht="15" hidden="false" customHeight="false" outlineLevel="0" collapsed="false">
      <c r="A5" s="6" t="s">
        <v>120</v>
      </c>
      <c r="B5" s="6" t="s">
        <v>87</v>
      </c>
      <c r="C5" s="6" t="s">
        <v>88</v>
      </c>
      <c r="D5" s="6" t="s">
        <v>89</v>
      </c>
      <c r="E5" s="6" t="s">
        <v>121</v>
      </c>
      <c r="F5" s="6" t="s">
        <v>122</v>
      </c>
      <c r="G5" s="6" t="s">
        <v>92</v>
      </c>
      <c r="H5" s="6" t="s">
        <v>92</v>
      </c>
      <c r="I5" s="6" t="s">
        <v>93</v>
      </c>
      <c r="J5" s="6"/>
      <c r="K5" s="6" t="s">
        <v>123</v>
      </c>
      <c r="L5" s="6" t="s">
        <v>95</v>
      </c>
      <c r="M5" s="6" t="s">
        <v>96</v>
      </c>
      <c r="N5" s="6" t="s">
        <v>97</v>
      </c>
      <c r="O5" s="6" t="s">
        <v>98</v>
      </c>
      <c r="P5" s="6" t="s">
        <v>98</v>
      </c>
      <c r="Q5" s="6" t="n">
        <v>5</v>
      </c>
      <c r="R5" s="6" t="n">
        <v>18</v>
      </c>
      <c r="S5" s="6" t="n">
        <v>7</v>
      </c>
      <c r="T5" s="6" t="s">
        <v>99</v>
      </c>
      <c r="U5" s="6" t="s">
        <v>98</v>
      </c>
      <c r="V5" s="6" t="n">
        <v>35</v>
      </c>
      <c r="W5" s="6" t="n">
        <v>1</v>
      </c>
      <c r="X5" s="6" t="s">
        <v>124</v>
      </c>
      <c r="Y5" s="6" t="s">
        <v>99</v>
      </c>
      <c r="Z5" s="6"/>
      <c r="AA5" s="6" t="s">
        <v>125</v>
      </c>
      <c r="AB5" s="6" t="s">
        <v>126</v>
      </c>
      <c r="AC5" s="6" t="s">
        <v>102</v>
      </c>
      <c r="AD5" s="6" t="s">
        <v>103</v>
      </c>
      <c r="AE5" s="6" t="s">
        <v>104</v>
      </c>
      <c r="AF5" s="6" t="s">
        <v>105</v>
      </c>
      <c r="AG5" s="6" t="s">
        <v>106</v>
      </c>
      <c r="AH5" s="6" t="n">
        <v>1</v>
      </c>
      <c r="AI5" s="6" t="n">
        <v>190</v>
      </c>
      <c r="AJ5" s="6" t="n">
        <v>28</v>
      </c>
      <c r="AK5" s="6" t="s">
        <v>107</v>
      </c>
      <c r="AL5" s="6" t="s">
        <v>108</v>
      </c>
      <c r="AM5" s="6" t="s">
        <v>109</v>
      </c>
      <c r="AN5" s="6" t="s">
        <v>127</v>
      </c>
    </row>
    <row r="6" customFormat="false" ht="15" hidden="false" customHeight="false" outlineLevel="0" collapsed="false">
      <c r="A6" s="6" t="s">
        <v>128</v>
      </c>
      <c r="B6" s="6" t="s">
        <v>87</v>
      </c>
      <c r="C6" s="6" t="s">
        <v>88</v>
      </c>
      <c r="D6" s="6" t="s">
        <v>89</v>
      </c>
      <c r="E6" s="6" t="s">
        <v>129</v>
      </c>
      <c r="F6" s="6" t="s">
        <v>91</v>
      </c>
      <c r="G6" s="6" t="s">
        <v>130</v>
      </c>
      <c r="H6" s="6" t="s">
        <v>130</v>
      </c>
      <c r="I6" s="6" t="s">
        <v>131</v>
      </c>
      <c r="J6" s="6"/>
      <c r="K6" s="6" t="s">
        <v>132</v>
      </c>
      <c r="L6" s="6" t="s">
        <v>95</v>
      </c>
      <c r="M6" s="6" t="s">
        <v>96</v>
      </c>
      <c r="N6" s="6" t="s">
        <v>97</v>
      </c>
      <c r="O6" s="6" t="s">
        <v>98</v>
      </c>
      <c r="P6" s="6" t="s">
        <v>98</v>
      </c>
      <c r="Q6" s="6" t="n">
        <v>10</v>
      </c>
      <c r="R6" s="6" t="n">
        <v>55</v>
      </c>
      <c r="S6" s="6" t="n">
        <v>18</v>
      </c>
      <c r="T6" s="6" t="s">
        <v>98</v>
      </c>
      <c r="U6" s="6" t="s">
        <v>99</v>
      </c>
      <c r="V6" s="6"/>
      <c r="W6" s="6"/>
      <c r="X6" s="6"/>
      <c r="Y6" s="6" t="s">
        <v>98</v>
      </c>
      <c r="Z6" s="6" t="n">
        <v>40</v>
      </c>
      <c r="AA6" s="6" t="s">
        <v>100</v>
      </c>
      <c r="AB6" s="6" t="s">
        <v>133</v>
      </c>
      <c r="AC6" s="6" t="s">
        <v>102</v>
      </c>
      <c r="AD6" s="6" t="s">
        <v>103</v>
      </c>
      <c r="AE6" s="6" t="s">
        <v>104</v>
      </c>
      <c r="AF6" s="6" t="s">
        <v>105</v>
      </c>
      <c r="AG6" s="6" t="s">
        <v>106</v>
      </c>
      <c r="AH6" s="6" t="n">
        <v>1</v>
      </c>
      <c r="AI6" s="6" t="n">
        <v>240</v>
      </c>
      <c r="AJ6" s="6" t="n">
        <v>35</v>
      </c>
      <c r="AK6" s="6" t="s">
        <v>107</v>
      </c>
      <c r="AL6" s="6" t="s">
        <v>108</v>
      </c>
      <c r="AM6" s="6" t="s">
        <v>109</v>
      </c>
      <c r="AN6" s="6" t="s">
        <v>134</v>
      </c>
    </row>
    <row r="7" customFormat="false" ht="15" hidden="false" customHeight="false" outlineLevel="0" collapsed="false">
      <c r="A7" s="6" t="s">
        <v>135</v>
      </c>
      <c r="B7" s="6" t="s">
        <v>87</v>
      </c>
      <c r="C7" s="6" t="s">
        <v>88</v>
      </c>
      <c r="D7" s="6" t="s">
        <v>89</v>
      </c>
      <c r="E7" s="6" t="s">
        <v>136</v>
      </c>
      <c r="F7" s="6" t="s">
        <v>137</v>
      </c>
      <c r="G7" s="6" t="s">
        <v>130</v>
      </c>
      <c r="H7" s="6" t="s">
        <v>130</v>
      </c>
      <c r="I7" s="6" t="s">
        <v>131</v>
      </c>
      <c r="J7" s="6"/>
      <c r="K7" s="6" t="s">
        <v>138</v>
      </c>
      <c r="L7" s="6" t="s">
        <v>95</v>
      </c>
      <c r="M7" s="6" t="s">
        <v>96</v>
      </c>
      <c r="N7" s="6" t="s">
        <v>97</v>
      </c>
      <c r="O7" s="6" t="s">
        <v>98</v>
      </c>
      <c r="P7" s="6" t="s">
        <v>98</v>
      </c>
      <c r="Q7" s="6" t="n">
        <v>12</v>
      </c>
      <c r="R7" s="6" t="n">
        <v>60</v>
      </c>
      <c r="S7" s="6" t="n">
        <v>20</v>
      </c>
      <c r="T7" s="6" t="s">
        <v>98</v>
      </c>
      <c r="U7" s="6" t="s">
        <v>99</v>
      </c>
      <c r="V7" s="6"/>
      <c r="W7" s="6"/>
      <c r="X7" s="6"/>
      <c r="Y7" s="6" t="s">
        <v>99</v>
      </c>
      <c r="Z7" s="6"/>
      <c r="AA7" s="6" t="s">
        <v>100</v>
      </c>
      <c r="AB7" s="6" t="s">
        <v>139</v>
      </c>
      <c r="AC7" s="6" t="s">
        <v>102</v>
      </c>
      <c r="AD7" s="6" t="s">
        <v>103</v>
      </c>
      <c r="AE7" s="6" t="s">
        <v>104</v>
      </c>
      <c r="AF7" s="6" t="s">
        <v>105</v>
      </c>
      <c r="AG7" s="6" t="s">
        <v>106</v>
      </c>
      <c r="AH7" s="6" t="n">
        <v>1</v>
      </c>
      <c r="AI7" s="6" t="n">
        <v>260</v>
      </c>
      <c r="AJ7" s="6" t="n">
        <v>38</v>
      </c>
      <c r="AK7" s="6" t="s">
        <v>107</v>
      </c>
      <c r="AL7" s="6" t="s">
        <v>108</v>
      </c>
      <c r="AM7" s="6" t="s">
        <v>109</v>
      </c>
      <c r="AN7" s="6"/>
    </row>
    <row r="8" customFormat="false" ht="15" hidden="false" customHeight="false" outlineLevel="0" collapsed="false">
      <c r="A8" s="6" t="s">
        <v>140</v>
      </c>
      <c r="B8" s="6" t="s">
        <v>87</v>
      </c>
      <c r="C8" s="6" t="s">
        <v>88</v>
      </c>
      <c r="D8" s="6" t="s">
        <v>89</v>
      </c>
      <c r="E8" s="6" t="s">
        <v>136</v>
      </c>
      <c r="F8" s="6" t="s">
        <v>122</v>
      </c>
      <c r="G8" s="6" t="s">
        <v>130</v>
      </c>
      <c r="H8" s="6" t="s">
        <v>130</v>
      </c>
      <c r="I8" s="6" t="s">
        <v>93</v>
      </c>
      <c r="J8" s="6"/>
      <c r="K8" s="6" t="s">
        <v>141</v>
      </c>
      <c r="L8" s="6" t="s">
        <v>95</v>
      </c>
      <c r="M8" s="6" t="s">
        <v>96</v>
      </c>
      <c r="N8" s="6" t="s">
        <v>97</v>
      </c>
      <c r="O8" s="6" t="s">
        <v>98</v>
      </c>
      <c r="P8" s="6" t="s">
        <v>98</v>
      </c>
      <c r="Q8" s="6" t="n">
        <v>9</v>
      </c>
      <c r="R8" s="6" t="n">
        <v>50</v>
      </c>
      <c r="S8" s="6" t="n">
        <v>16</v>
      </c>
      <c r="T8" s="6" t="s">
        <v>98</v>
      </c>
      <c r="U8" s="6" t="s">
        <v>99</v>
      </c>
      <c r="V8" s="6"/>
      <c r="W8" s="6"/>
      <c r="X8" s="6"/>
      <c r="Y8" s="6" t="s">
        <v>99</v>
      </c>
      <c r="Z8" s="6"/>
      <c r="AA8" s="6" t="s">
        <v>100</v>
      </c>
      <c r="AB8" s="6" t="s">
        <v>139</v>
      </c>
      <c r="AC8" s="6" t="s">
        <v>102</v>
      </c>
      <c r="AD8" s="6" t="s">
        <v>103</v>
      </c>
      <c r="AE8" s="6" t="s">
        <v>104</v>
      </c>
      <c r="AF8" s="6" t="s">
        <v>105</v>
      </c>
      <c r="AG8" s="6" t="s">
        <v>106</v>
      </c>
      <c r="AH8" s="6" t="n">
        <v>1</v>
      </c>
      <c r="AI8" s="6" t="n">
        <v>230</v>
      </c>
      <c r="AJ8" s="6" t="n">
        <v>32</v>
      </c>
      <c r="AK8" s="6" t="s">
        <v>107</v>
      </c>
      <c r="AL8" s="6" t="s">
        <v>108</v>
      </c>
      <c r="AM8" s="6" t="s">
        <v>109</v>
      </c>
      <c r="AN8" s="6"/>
    </row>
    <row r="9" customFormat="false" ht="15" hidden="false" customHeight="false" outlineLevel="0" collapsed="false">
      <c r="A9" s="6" t="s">
        <v>142</v>
      </c>
      <c r="B9" s="6" t="s">
        <v>87</v>
      </c>
      <c r="C9" s="6" t="s">
        <v>88</v>
      </c>
      <c r="D9" s="6" t="s">
        <v>89</v>
      </c>
      <c r="E9" s="6" t="s">
        <v>101</v>
      </c>
      <c r="F9" s="6" t="s">
        <v>137</v>
      </c>
      <c r="G9" s="6" t="s">
        <v>130</v>
      </c>
      <c r="H9" s="6" t="s">
        <v>130</v>
      </c>
      <c r="I9" s="6" t="s">
        <v>131</v>
      </c>
      <c r="J9" s="6"/>
      <c r="K9" s="6" t="s">
        <v>143</v>
      </c>
      <c r="L9" s="6" t="s">
        <v>95</v>
      </c>
      <c r="M9" s="6" t="s">
        <v>96</v>
      </c>
      <c r="N9" s="6" t="s">
        <v>97</v>
      </c>
      <c r="O9" s="6" t="s">
        <v>98</v>
      </c>
      <c r="P9" s="6" t="s">
        <v>98</v>
      </c>
      <c r="Q9" s="6" t="n">
        <v>11</v>
      </c>
      <c r="R9" s="6" t="n">
        <v>68</v>
      </c>
      <c r="S9" s="6" t="n">
        <v>22</v>
      </c>
      <c r="T9" s="6" t="s">
        <v>99</v>
      </c>
      <c r="U9" s="6" t="s">
        <v>98</v>
      </c>
      <c r="V9" s="6" t="n">
        <v>60</v>
      </c>
      <c r="W9" s="6" t="n">
        <v>2</v>
      </c>
      <c r="X9" s="6" t="s">
        <v>144</v>
      </c>
      <c r="Y9" s="6" t="s">
        <v>99</v>
      </c>
      <c r="Z9" s="6"/>
      <c r="AA9" s="6" t="s">
        <v>125</v>
      </c>
      <c r="AB9" s="6" t="s">
        <v>145</v>
      </c>
      <c r="AC9" s="6" t="s">
        <v>102</v>
      </c>
      <c r="AD9" s="6" t="s">
        <v>146</v>
      </c>
      <c r="AE9" s="6" t="s">
        <v>147</v>
      </c>
      <c r="AF9" s="6" t="s">
        <v>105</v>
      </c>
      <c r="AG9" s="6" t="s">
        <v>106</v>
      </c>
      <c r="AH9" s="6" t="n">
        <v>2</v>
      </c>
      <c r="AI9" s="6" t="n">
        <v>280</v>
      </c>
      <c r="AJ9" s="6" t="n">
        <v>40</v>
      </c>
      <c r="AK9" s="6" t="s">
        <v>107</v>
      </c>
      <c r="AL9" s="6" t="s">
        <v>108</v>
      </c>
      <c r="AM9" s="6" t="s">
        <v>109</v>
      </c>
      <c r="AN9" s="6" t="s">
        <v>148</v>
      </c>
    </row>
    <row r="10" customFormat="false" ht="15" hidden="false" customHeight="false" outlineLevel="0" collapsed="false">
      <c r="A10" s="6" t="s">
        <v>149</v>
      </c>
      <c r="B10" s="6" t="s">
        <v>87</v>
      </c>
      <c r="C10" s="6" t="s">
        <v>88</v>
      </c>
      <c r="D10" s="6" t="s">
        <v>89</v>
      </c>
      <c r="E10" s="6" t="s">
        <v>119</v>
      </c>
      <c r="F10" s="6" t="s">
        <v>150</v>
      </c>
      <c r="G10" s="6" t="s">
        <v>130</v>
      </c>
      <c r="H10" s="6" t="s">
        <v>151</v>
      </c>
      <c r="I10" s="6" t="s">
        <v>131</v>
      </c>
      <c r="J10" s="6" t="s">
        <v>152</v>
      </c>
      <c r="K10" s="6" t="s">
        <v>153</v>
      </c>
      <c r="L10" s="6" t="s">
        <v>95</v>
      </c>
      <c r="M10" s="6" t="s">
        <v>96</v>
      </c>
      <c r="N10" s="6" t="s">
        <v>97</v>
      </c>
      <c r="O10" s="6" t="s">
        <v>98</v>
      </c>
      <c r="P10" s="6" t="s">
        <v>98</v>
      </c>
      <c r="Q10" s="6" t="n">
        <v>25</v>
      </c>
      <c r="R10" s="6" t="n">
        <v>140</v>
      </c>
      <c r="S10" s="6" t="n">
        <v>45</v>
      </c>
      <c r="T10" s="6" t="s">
        <v>98</v>
      </c>
      <c r="U10" s="6" t="s">
        <v>99</v>
      </c>
      <c r="V10" s="6"/>
      <c r="W10" s="6"/>
      <c r="X10" s="6"/>
      <c r="Y10" s="6" t="s">
        <v>99</v>
      </c>
      <c r="Z10" s="6"/>
      <c r="AA10" s="6" t="s">
        <v>100</v>
      </c>
      <c r="AB10" s="6" t="s">
        <v>154</v>
      </c>
      <c r="AC10" s="6" t="s">
        <v>102</v>
      </c>
      <c r="AD10" s="6" t="s">
        <v>146</v>
      </c>
      <c r="AE10" s="6" t="s">
        <v>147</v>
      </c>
      <c r="AF10" s="6" t="s">
        <v>105</v>
      </c>
      <c r="AG10" s="6" t="s">
        <v>106</v>
      </c>
      <c r="AH10" s="6" t="n">
        <v>2</v>
      </c>
      <c r="AI10" s="6" t="n">
        <v>520</v>
      </c>
      <c r="AJ10" s="6" t="n">
        <v>80</v>
      </c>
      <c r="AK10" s="6" t="s">
        <v>107</v>
      </c>
      <c r="AL10" s="6" t="s">
        <v>108</v>
      </c>
      <c r="AM10" s="6" t="s">
        <v>109</v>
      </c>
      <c r="AN10" s="6" t="s">
        <v>155</v>
      </c>
    </row>
    <row r="11" customFormat="false" ht="15" hidden="false" customHeight="false" outlineLevel="0" collapsed="false">
      <c r="A11" s="6" t="s">
        <v>156</v>
      </c>
      <c r="B11" s="6" t="s">
        <v>87</v>
      </c>
      <c r="C11" s="6" t="s">
        <v>88</v>
      </c>
      <c r="D11" s="6" t="s">
        <v>89</v>
      </c>
      <c r="E11" s="6" t="s">
        <v>157</v>
      </c>
      <c r="F11" s="6" t="s">
        <v>150</v>
      </c>
      <c r="G11" s="6" t="s">
        <v>151</v>
      </c>
      <c r="H11" s="6" t="s">
        <v>151</v>
      </c>
      <c r="I11" s="6" t="s">
        <v>158</v>
      </c>
      <c r="J11" s="6"/>
      <c r="K11" s="6" t="s">
        <v>159</v>
      </c>
      <c r="L11" s="6" t="s">
        <v>95</v>
      </c>
      <c r="M11" s="6" t="s">
        <v>96</v>
      </c>
      <c r="N11" s="6" t="s">
        <v>97</v>
      </c>
      <c r="O11" s="6" t="s">
        <v>99</v>
      </c>
      <c r="P11" s="6" t="s">
        <v>99</v>
      </c>
      <c r="Q11" s="6" t="n">
        <v>0</v>
      </c>
      <c r="R11" s="6" t="n">
        <v>410</v>
      </c>
      <c r="S11" s="6" t="n">
        <v>0</v>
      </c>
      <c r="T11" s="6" t="s">
        <v>98</v>
      </c>
      <c r="U11" s="6" t="s">
        <v>99</v>
      </c>
      <c r="V11" s="6"/>
      <c r="W11" s="6"/>
      <c r="X11" s="6"/>
      <c r="Y11" s="6" t="s">
        <v>99</v>
      </c>
      <c r="Z11" s="6"/>
      <c r="AA11" s="6" t="s">
        <v>100</v>
      </c>
      <c r="AB11" s="6" t="s">
        <v>160</v>
      </c>
      <c r="AC11" s="6"/>
      <c r="AD11" s="6"/>
      <c r="AE11" s="6"/>
      <c r="AF11" s="6" t="s">
        <v>105</v>
      </c>
      <c r="AG11" s="6" t="s">
        <v>106</v>
      </c>
      <c r="AH11" s="6"/>
      <c r="AI11" s="6" t="n">
        <v>0</v>
      </c>
      <c r="AJ11" s="6" t="n">
        <v>0</v>
      </c>
      <c r="AK11" s="6"/>
      <c r="AL11" s="6" t="s">
        <v>108</v>
      </c>
      <c r="AM11" s="6" t="s">
        <v>109</v>
      </c>
      <c r="AN11" s="6" t="s">
        <v>161</v>
      </c>
    </row>
    <row r="12" customFormat="false" ht="15" hidden="false" customHeight="false" outlineLevel="0" collapsed="false">
      <c r="A12" s="6" t="s">
        <v>162</v>
      </c>
      <c r="B12" s="6" t="s">
        <v>87</v>
      </c>
      <c r="C12" s="6" t="s">
        <v>88</v>
      </c>
      <c r="D12" s="6" t="s">
        <v>89</v>
      </c>
      <c r="E12" s="6" t="s">
        <v>163</v>
      </c>
      <c r="F12" s="6" t="s">
        <v>164</v>
      </c>
      <c r="G12" s="6" t="s">
        <v>151</v>
      </c>
      <c r="H12" s="6" t="s">
        <v>151</v>
      </c>
      <c r="I12" s="6" t="s">
        <v>158</v>
      </c>
      <c r="J12" s="6"/>
      <c r="K12" s="6" t="s">
        <v>165</v>
      </c>
      <c r="L12" s="6" t="s">
        <v>95</v>
      </c>
      <c r="M12" s="6" t="s">
        <v>166</v>
      </c>
      <c r="N12" s="6" t="s">
        <v>97</v>
      </c>
      <c r="O12" s="6" t="s">
        <v>98</v>
      </c>
      <c r="P12" s="6" t="s">
        <v>99</v>
      </c>
      <c r="Q12" s="6" t="n">
        <v>0</v>
      </c>
      <c r="R12" s="6" t="n">
        <v>440</v>
      </c>
      <c r="S12" s="6" t="n">
        <v>0</v>
      </c>
      <c r="T12" s="6" t="s">
        <v>98</v>
      </c>
      <c r="U12" s="6" t="s">
        <v>99</v>
      </c>
      <c r="V12" s="6"/>
      <c r="W12" s="6"/>
      <c r="X12" s="6"/>
      <c r="Y12" s="6" t="s">
        <v>99</v>
      </c>
      <c r="Z12" s="6"/>
      <c r="AA12" s="6" t="s">
        <v>100</v>
      </c>
      <c r="AB12" s="6" t="s">
        <v>167</v>
      </c>
      <c r="AC12" s="6" t="s">
        <v>102</v>
      </c>
      <c r="AD12" s="6" t="s">
        <v>103</v>
      </c>
      <c r="AE12" s="6" t="s">
        <v>104</v>
      </c>
      <c r="AF12" s="6" t="s">
        <v>105</v>
      </c>
      <c r="AG12" s="6" t="s">
        <v>106</v>
      </c>
      <c r="AH12" s="6" t="n">
        <v>2</v>
      </c>
      <c r="AI12" s="6" t="n">
        <v>120</v>
      </c>
      <c r="AJ12" s="6" t="n">
        <v>10</v>
      </c>
      <c r="AK12" s="6" t="s">
        <v>107</v>
      </c>
      <c r="AL12" s="6" t="s">
        <v>108</v>
      </c>
      <c r="AM12" s="6" t="s">
        <v>109</v>
      </c>
      <c r="AN12" s="6" t="s">
        <v>168</v>
      </c>
    </row>
    <row r="13" customFormat="false" ht="15" hidden="false" customHeight="false" outlineLevel="0" collapsed="false">
      <c r="A13" s="6" t="s">
        <v>169</v>
      </c>
      <c r="B13" s="6" t="s">
        <v>87</v>
      </c>
      <c r="C13" s="6" t="s">
        <v>88</v>
      </c>
      <c r="D13" s="6" t="s">
        <v>89</v>
      </c>
      <c r="E13" s="6" t="s">
        <v>126</v>
      </c>
      <c r="F13" s="6" t="s">
        <v>137</v>
      </c>
      <c r="G13" s="6" t="s">
        <v>151</v>
      </c>
      <c r="H13" s="6" t="s">
        <v>151</v>
      </c>
      <c r="I13" s="6" t="s">
        <v>131</v>
      </c>
      <c r="J13" s="6"/>
      <c r="K13" s="6" t="s">
        <v>170</v>
      </c>
      <c r="L13" s="6" t="s">
        <v>95</v>
      </c>
      <c r="M13" s="6" t="s">
        <v>96</v>
      </c>
      <c r="N13" s="6" t="s">
        <v>97</v>
      </c>
      <c r="O13" s="6" t="s">
        <v>98</v>
      </c>
      <c r="P13" s="6" t="s">
        <v>98</v>
      </c>
      <c r="Q13" s="6" t="n">
        <v>30</v>
      </c>
      <c r="R13" s="6" t="n">
        <v>160</v>
      </c>
      <c r="S13" s="6" t="n">
        <v>50</v>
      </c>
      <c r="T13" s="6" t="s">
        <v>98</v>
      </c>
      <c r="U13" s="6" t="s">
        <v>99</v>
      </c>
      <c r="V13" s="6"/>
      <c r="W13" s="6"/>
      <c r="X13" s="6"/>
      <c r="Y13" s="6" t="s">
        <v>99</v>
      </c>
      <c r="Z13" s="6"/>
      <c r="AA13" s="6" t="s">
        <v>100</v>
      </c>
      <c r="AB13" s="6" t="s">
        <v>171</v>
      </c>
      <c r="AC13" s="6" t="s">
        <v>102</v>
      </c>
      <c r="AD13" s="6" t="s">
        <v>146</v>
      </c>
      <c r="AE13" s="6" t="s">
        <v>147</v>
      </c>
      <c r="AF13" s="6" t="s">
        <v>105</v>
      </c>
      <c r="AG13" s="6" t="s">
        <v>106</v>
      </c>
      <c r="AH13" s="6" t="n">
        <v>2</v>
      </c>
      <c r="AI13" s="6" t="n">
        <v>560</v>
      </c>
      <c r="AJ13" s="6" t="n">
        <v>85</v>
      </c>
      <c r="AK13" s="6" t="s">
        <v>107</v>
      </c>
      <c r="AL13" s="6" t="s">
        <v>108</v>
      </c>
      <c r="AM13" s="6" t="s">
        <v>109</v>
      </c>
      <c r="AN13" s="6"/>
    </row>
    <row r="14" customFormat="false" ht="15" hidden="false" customHeight="false" outlineLevel="0" collapsed="false">
      <c r="A14" s="6" t="s">
        <v>172</v>
      </c>
      <c r="B14" s="6" t="s">
        <v>87</v>
      </c>
      <c r="C14" s="6" t="s">
        <v>88</v>
      </c>
      <c r="D14" s="6" t="s">
        <v>89</v>
      </c>
      <c r="E14" s="6" t="s">
        <v>133</v>
      </c>
      <c r="F14" s="6" t="s">
        <v>91</v>
      </c>
      <c r="G14" s="6" t="s">
        <v>92</v>
      </c>
      <c r="H14" s="6" t="s">
        <v>92</v>
      </c>
      <c r="I14" s="6" t="s">
        <v>93</v>
      </c>
      <c r="J14" s="6"/>
      <c r="K14" s="6" t="s">
        <v>173</v>
      </c>
      <c r="L14" s="6" t="s">
        <v>174</v>
      </c>
      <c r="M14" s="6" t="s">
        <v>175</v>
      </c>
      <c r="N14" s="6" t="s">
        <v>97</v>
      </c>
      <c r="O14" s="6" t="s">
        <v>99</v>
      </c>
      <c r="P14" s="6" t="s">
        <v>99</v>
      </c>
      <c r="Q14" s="6" t="n">
        <v>0</v>
      </c>
      <c r="R14" s="6" t="n">
        <v>20</v>
      </c>
      <c r="S14" s="6" t="n">
        <v>0</v>
      </c>
      <c r="T14" s="6" t="s">
        <v>98</v>
      </c>
      <c r="U14" s="6" t="s">
        <v>99</v>
      </c>
      <c r="V14" s="6"/>
      <c r="W14" s="6"/>
      <c r="X14" s="6"/>
      <c r="Y14" s="6" t="s">
        <v>99</v>
      </c>
      <c r="Z14" s="6"/>
      <c r="AA14" s="6" t="s">
        <v>176</v>
      </c>
      <c r="AB14" s="6" t="s">
        <v>171</v>
      </c>
      <c r="AC14" s="6"/>
      <c r="AD14" s="6"/>
      <c r="AE14" s="6"/>
      <c r="AF14" s="6"/>
      <c r="AG14" s="6"/>
      <c r="AH14" s="6"/>
      <c r="AI14" s="6" t="n">
        <v>0</v>
      </c>
      <c r="AJ14" s="6" t="n">
        <v>0</v>
      </c>
      <c r="AK14" s="6"/>
      <c r="AL14" s="6" t="s">
        <v>108</v>
      </c>
      <c r="AM14" s="6" t="s">
        <v>109</v>
      </c>
      <c r="AN14" s="6" t="s">
        <v>177</v>
      </c>
    </row>
    <row r="15" customFormat="false" ht="15" hidden="false" customHeight="false" outlineLevel="0" collapsed="false">
      <c r="A15" s="6" t="s">
        <v>178</v>
      </c>
      <c r="B15" s="6" t="s">
        <v>87</v>
      </c>
      <c r="C15" s="6" t="s">
        <v>88</v>
      </c>
      <c r="D15" s="6" t="s">
        <v>89</v>
      </c>
      <c r="E15" s="6" t="s">
        <v>179</v>
      </c>
      <c r="F15" s="6" t="s">
        <v>91</v>
      </c>
      <c r="G15" s="6" t="s">
        <v>92</v>
      </c>
      <c r="H15" s="6" t="s">
        <v>92</v>
      </c>
      <c r="I15" s="6" t="s">
        <v>93</v>
      </c>
      <c r="J15" s="6"/>
      <c r="K15" s="6" t="s">
        <v>180</v>
      </c>
      <c r="L15" s="6" t="s">
        <v>95</v>
      </c>
      <c r="M15" s="6" t="s">
        <v>96</v>
      </c>
      <c r="N15" s="6" t="s">
        <v>181</v>
      </c>
      <c r="O15" s="6" t="s">
        <v>98</v>
      </c>
      <c r="P15" s="6" t="s">
        <v>98</v>
      </c>
      <c r="Q15" s="6" t="n">
        <v>9</v>
      </c>
      <c r="R15" s="6" t="n">
        <v>28</v>
      </c>
      <c r="S15" s="6" t="n">
        <v>14</v>
      </c>
      <c r="T15" s="6" t="s">
        <v>98</v>
      </c>
      <c r="U15" s="6" t="s">
        <v>99</v>
      </c>
      <c r="V15" s="6"/>
      <c r="W15" s="6"/>
      <c r="X15" s="6"/>
      <c r="Y15" s="6" t="s">
        <v>99</v>
      </c>
      <c r="Z15" s="6"/>
      <c r="AA15" s="6" t="s">
        <v>100</v>
      </c>
      <c r="AB15" s="6" t="s">
        <v>182</v>
      </c>
      <c r="AC15" s="6" t="s">
        <v>102</v>
      </c>
      <c r="AD15" s="6" t="s">
        <v>103</v>
      </c>
      <c r="AE15" s="6" t="s">
        <v>104</v>
      </c>
      <c r="AF15" s="6" t="s">
        <v>183</v>
      </c>
      <c r="AG15" s="6" t="s">
        <v>184</v>
      </c>
      <c r="AH15" s="6" t="n">
        <v>2</v>
      </c>
      <c r="AI15" s="6" t="n">
        <v>260</v>
      </c>
      <c r="AJ15" s="6" t="n">
        <v>38</v>
      </c>
      <c r="AK15" s="6" t="s">
        <v>107</v>
      </c>
      <c r="AL15" s="6" t="s">
        <v>108</v>
      </c>
      <c r="AM15" s="6" t="s">
        <v>109</v>
      </c>
      <c r="AN15" s="6" t="s">
        <v>185</v>
      </c>
    </row>
    <row r="16" customFormat="false" ht="15" hidden="false" customHeight="false" outlineLevel="0" collapsed="false">
      <c r="A16" s="6" t="s">
        <v>186</v>
      </c>
      <c r="B16" s="6" t="s">
        <v>87</v>
      </c>
      <c r="C16" s="6" t="s">
        <v>88</v>
      </c>
      <c r="D16" s="6" t="s">
        <v>89</v>
      </c>
      <c r="E16" s="6" t="s">
        <v>187</v>
      </c>
      <c r="F16" s="6" t="s">
        <v>137</v>
      </c>
      <c r="G16" s="6" t="s">
        <v>130</v>
      </c>
      <c r="H16" s="6" t="s">
        <v>130</v>
      </c>
      <c r="I16" s="6" t="s">
        <v>131</v>
      </c>
      <c r="J16" s="6"/>
      <c r="K16" s="6" t="s">
        <v>188</v>
      </c>
      <c r="L16" s="6" t="s">
        <v>95</v>
      </c>
      <c r="M16" s="6" t="s">
        <v>96</v>
      </c>
      <c r="N16" s="6" t="s">
        <v>181</v>
      </c>
      <c r="O16" s="6" t="s">
        <v>98</v>
      </c>
      <c r="P16" s="6" t="s">
        <v>98</v>
      </c>
      <c r="Q16" s="6" t="n">
        <v>16</v>
      </c>
      <c r="R16" s="6" t="n">
        <v>95</v>
      </c>
      <c r="S16" s="6" t="n">
        <v>30</v>
      </c>
      <c r="T16" s="6" t="s">
        <v>99</v>
      </c>
      <c r="U16" s="6" t="s">
        <v>98</v>
      </c>
      <c r="V16" s="6" t="n">
        <v>45</v>
      </c>
      <c r="W16" s="6" t="n">
        <v>1</v>
      </c>
      <c r="X16" s="6" t="s">
        <v>124</v>
      </c>
      <c r="Y16" s="6" t="s">
        <v>99</v>
      </c>
      <c r="Z16" s="6"/>
      <c r="AA16" s="6" t="s">
        <v>125</v>
      </c>
      <c r="AB16" s="6" t="s">
        <v>189</v>
      </c>
      <c r="AC16" s="6" t="s">
        <v>102</v>
      </c>
      <c r="AD16" s="6" t="s">
        <v>103</v>
      </c>
      <c r="AE16" s="6" t="s">
        <v>104</v>
      </c>
      <c r="AF16" s="6" t="s">
        <v>183</v>
      </c>
      <c r="AG16" s="6" t="s">
        <v>184</v>
      </c>
      <c r="AH16" s="6" t="n">
        <v>3</v>
      </c>
      <c r="AI16" s="6" t="n">
        <v>300</v>
      </c>
      <c r="AJ16" s="6" t="n">
        <v>45</v>
      </c>
      <c r="AK16" s="6" t="s">
        <v>107</v>
      </c>
      <c r="AL16" s="6" t="s">
        <v>108</v>
      </c>
      <c r="AM16" s="6" t="s">
        <v>109</v>
      </c>
      <c r="AN16" s="6" t="s">
        <v>190</v>
      </c>
    </row>
    <row r="17" customFormat="false" ht="15" hidden="false" customHeight="false" outlineLevel="0" collapsed="false">
      <c r="A17" s="6" t="s">
        <v>191</v>
      </c>
      <c r="B17" s="6" t="s">
        <v>87</v>
      </c>
      <c r="C17" s="6" t="s">
        <v>88</v>
      </c>
      <c r="D17" s="6" t="s">
        <v>89</v>
      </c>
      <c r="E17" s="6" t="s">
        <v>145</v>
      </c>
      <c r="F17" s="6" t="s">
        <v>150</v>
      </c>
      <c r="G17" s="6" t="s">
        <v>151</v>
      </c>
      <c r="H17" s="6" t="s">
        <v>151</v>
      </c>
      <c r="I17" s="6" t="s">
        <v>158</v>
      </c>
      <c r="J17" s="6"/>
      <c r="K17" s="6" t="s">
        <v>192</v>
      </c>
      <c r="L17" s="6" t="s">
        <v>95</v>
      </c>
      <c r="M17" s="6" t="s">
        <v>96</v>
      </c>
      <c r="N17" s="6" t="s">
        <v>181</v>
      </c>
      <c r="O17" s="6" t="s">
        <v>98</v>
      </c>
      <c r="P17" s="6" t="s">
        <v>98</v>
      </c>
      <c r="Q17" s="6" t="n">
        <v>45</v>
      </c>
      <c r="R17" s="6" t="n">
        <v>230</v>
      </c>
      <c r="S17" s="6" t="n">
        <v>70</v>
      </c>
      <c r="T17" s="6" t="s">
        <v>98</v>
      </c>
      <c r="U17" s="6" t="s">
        <v>99</v>
      </c>
      <c r="V17" s="6"/>
      <c r="W17" s="6"/>
      <c r="X17" s="6"/>
      <c r="Y17" s="6" t="s">
        <v>99</v>
      </c>
      <c r="Z17" s="6"/>
      <c r="AA17" s="6" t="s">
        <v>100</v>
      </c>
      <c r="AB17" s="6" t="s">
        <v>193</v>
      </c>
      <c r="AC17" s="6" t="s">
        <v>102</v>
      </c>
      <c r="AD17" s="6" t="s">
        <v>146</v>
      </c>
      <c r="AE17" s="6" t="s">
        <v>147</v>
      </c>
      <c r="AF17" s="6" t="s">
        <v>183</v>
      </c>
      <c r="AG17" s="6" t="s">
        <v>184</v>
      </c>
      <c r="AH17" s="6" t="n">
        <v>3</v>
      </c>
      <c r="AI17" s="6" t="n">
        <v>700</v>
      </c>
      <c r="AJ17" s="6" t="n">
        <v>110</v>
      </c>
      <c r="AK17" s="6" t="s">
        <v>107</v>
      </c>
      <c r="AL17" s="6" t="s">
        <v>108</v>
      </c>
      <c r="AM17" s="6" t="s">
        <v>109</v>
      </c>
      <c r="AN17" s="6" t="s">
        <v>190</v>
      </c>
    </row>
  </sheetData>
  <dataValidations count="11">
    <dataValidation allowBlank="true" errorStyle="stop" operator="between" showDropDown="false" showErrorMessage="false" showInputMessage="false" sqref="G2:H1017" type="list">
      <formula1>"Simple,Medium,Complex"</formula1>
      <formula2>0</formula2>
    </dataValidation>
    <dataValidation allowBlank="true" errorStyle="stop" operator="between" showDropDown="false" showErrorMessage="false" showInputMessage="false" sqref="I2:I1017" type="list">
      <formula1>"ATC severity,Dependency count,Code volume,Manual judgment"</formula1>
      <formula2>0</formula2>
    </dataValidation>
    <dataValidation allowBlank="true" errorStyle="stop" operator="between" showDropDown="false" showErrorMessage="false" showInputMessage="false" sqref="L2:L1017" type="list">
      <formula1>"Active,Dormant,Dead"</formula1>
      <formula2>0</formula2>
    </dataValidation>
    <dataValidation allowBlank="true" errorStyle="stop" operator="between" showDropDown="false" showErrorMessage="false" showInputMessage="false" sqref="M2:M1017" type="list">
      <formula1>"Remediate,Rewrite,Decommission,Retain"</formula1>
      <formula2>0</formula2>
    </dataValidation>
    <dataValidation allowBlank="true" errorStyle="stop" operator="between" showDropDown="false" showErrorMessage="false" showInputMessage="false" sqref="N2:N1017" type="list">
      <formula1>"Partner stack,Vanilla control"</formula1>
      <formula2>0</formula2>
    </dataValidation>
    <dataValidation allowBlank="true" errorStyle="stop" operator="between" showDropDown="false" showErrorMessage="false" showInputMessage="false" sqref="O2:P1017 T2:U1017 Y2:Y1017" type="list">
      <formula1>"Y,N"</formula1>
      <formula2>0</formula2>
    </dataValidation>
    <dataValidation allowBlank="true" errorStyle="stop" operator="between" showDropDown="false" showErrorMessage="false" showInputMessage="false" sqref="X2:X1017" type="list">
      <formula1>"AI error,Requirement gap,Customer data,Integration,Other"</formula1>
      <formula2>0</formula2>
    </dataValidation>
    <dataValidation allowBlank="true" errorStyle="stop" operator="between" showDropDown="false" showErrorMessage="false" showInputMessage="false" sqref="AA2:AA1017" type="list">
      <formula1>"Pass,Fail,N/A"</formula1>
      <formula2>0</formula2>
    </dataValidation>
    <dataValidation allowBlank="true" errorStyle="stop" operator="between" showDropDown="false" showErrorMessage="false" showInputMessage="false" sqref="AC2:AC1017" type="list">
      <formula1>"Anthropic,Google,OpenAI,SAP,Other"</formula1>
      <formula2>0</formula2>
    </dataValidation>
    <dataValidation allowBlank="true" errorStyle="stop" operator="between" showDropDown="false" showErrorMessage="false" showInputMessage="false" sqref="AE2:AE1017" type="list">
      <formula1>"Frontier,Workhorse,Efficient,SAP Hub"</formula1>
      <formula2>0</formula2>
    </dataValidation>
    <dataValidation allowBlank="true" errorStyle="stop" operator="between" showDropDown="false" showErrorMessage="false" showInputMessage="false" sqref="AK2:AK1017" type="list">
      <formula1>"API export,Manual"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3" min="12" style="0" width="12"/>
  </cols>
  <sheetData>
    <row r="1" customFormat="false" ht="1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7" t="s">
        <v>195</v>
      </c>
    </row>
    <row r="4" customFormat="false" ht="15" hidden="false" customHeight="false" outlineLevel="0" collapsed="false">
      <c r="A4" s="3" t="s">
        <v>196</v>
      </c>
    </row>
    <row r="5" customFormat="false" ht="15" hidden="false" customHeight="false" outlineLevel="0" collapsed="false">
      <c r="A5" s="2" t="s">
        <v>197</v>
      </c>
      <c r="B5" s="8" t="n">
        <v>90</v>
      </c>
      <c r="C5" s="2" t="s">
        <v>130</v>
      </c>
      <c r="D5" s="8" t="n">
        <v>210</v>
      </c>
      <c r="E5" s="2" t="s">
        <v>151</v>
      </c>
      <c r="F5" s="8" t="n">
        <v>420</v>
      </c>
    </row>
    <row r="6" customFormat="false" ht="15" hidden="false" customHeight="false" outlineLevel="0" collapsed="false">
      <c r="A6" s="7" t="s">
        <v>198</v>
      </c>
    </row>
    <row r="7" customFormat="false" ht="15" hidden="false" customHeight="false" outlineLevel="0" collapsed="false">
      <c r="A7" s="2" t="s">
        <v>199</v>
      </c>
      <c r="B7" s="9" t="s">
        <v>105</v>
      </c>
      <c r="C7" s="2" t="s">
        <v>200</v>
      </c>
      <c r="D7" s="8" t="n">
        <v>150</v>
      </c>
      <c r="E7" s="2" t="s">
        <v>201</v>
      </c>
      <c r="F7" s="10" t="n">
        <v>0.02</v>
      </c>
    </row>
    <row r="9" customFormat="false" ht="15" hidden="false" customHeight="false" outlineLevel="0" collapsed="false">
      <c r="A9" s="3" t="s">
        <v>202</v>
      </c>
    </row>
    <row r="10" customFormat="false" ht="25.5" hidden="false" customHeight="true" outlineLevel="0" collapsed="false">
      <c r="A10" s="11" t="s">
        <v>137</v>
      </c>
      <c r="B10" s="11" t="s">
        <v>203</v>
      </c>
      <c r="C10" s="11" t="s">
        <v>204</v>
      </c>
      <c r="D10" s="11" t="s">
        <v>205</v>
      </c>
      <c r="E10" s="11" t="s">
        <v>206</v>
      </c>
      <c r="F10" s="11" t="s">
        <v>207</v>
      </c>
      <c r="G10" s="11" t="s">
        <v>208</v>
      </c>
      <c r="H10" s="11" t="s">
        <v>209</v>
      </c>
      <c r="I10" s="11" t="s">
        <v>210</v>
      </c>
      <c r="J10" s="11" t="s">
        <v>211</v>
      </c>
      <c r="K10" s="11" t="s">
        <v>212</v>
      </c>
      <c r="L10" s="11" t="s">
        <v>213</v>
      </c>
      <c r="M10" s="11" t="s">
        <v>214</v>
      </c>
    </row>
    <row r="11" customFormat="false" ht="15" hidden="false" customHeight="false" outlineLevel="0" collapsed="false">
      <c r="A11" s="12" t="s">
        <v>92</v>
      </c>
      <c r="B11" s="13" t="n">
        <f aca="false">COUNTIFS(Object_Log!$N$2:$N$2000,"Partner stack",Object_Log!$M$2:$M$2000,"&lt;&gt;Decommission",Object_Log!$H$2:$H$2000,"Simple")</f>
        <v>4</v>
      </c>
      <c r="C11" s="13" t="n">
        <f aca="false">COUNTIFS(Object_Log!$N$2:$N$2000,"Partner stack",Object_Log!$M$2:$M$2000,"&lt;&gt;Decommission",Object_Log!$H$2:$H$2000,"Simple",Object_Log!$P$2:$P$2000,"Y")</f>
        <v>4</v>
      </c>
      <c r="D11" s="14" t="n">
        <f aca="false">IFERROR(C11/B11,0)</f>
        <v>1</v>
      </c>
      <c r="E11" s="15" t="n">
        <f aca="false">IFERROR(AVERAGEIFS(Object_Log!$Q$2:$Q$2000,Object_Log!$N$2:$N$2000,"Partner stack",Object_Log!$M$2:$M$2000,"&lt;&gt;Decommission",Object_Log!$H$2:$H$2000,"Simple",Object_Log!$P$2:$P$2000,"Y")+AVERAGEIFS(Object_Log!$R$2:$R$2000,Object_Log!$N$2:$N$2000,"Partner stack",Object_Log!$M$2:$M$2000,"&lt;&gt;Decommission",Object_Log!$H$2:$H$2000,"Simple",Object_Log!$P$2:$P$2000,"Y"),0)</f>
        <v>21.75</v>
      </c>
      <c r="F11" s="14" t="n">
        <f aca="false">IFERROR(1-E11/$B$5,0)</f>
        <v>0.758333333333333</v>
      </c>
      <c r="G11" s="15" t="n">
        <f aca="false">IFERROR(AVERAGEIFS(Object_Log!$S$2:$S$2000,Object_Log!$N$2:$N$2000,"Partner stack",Object_Log!$M$2:$M$2000,"&lt;&gt;Decommission",Object_Log!$H$2:$H$2000,"Simple",Object_Log!$P$2:$P$2000,"Y"),0)</f>
        <v>7.5</v>
      </c>
      <c r="H11" s="14" t="n">
        <f aca="false">IFERROR(G11/($B$5-E11),0)</f>
        <v>0.10989010989011</v>
      </c>
      <c r="I11" s="14" t="n">
        <f aca="false">IFERROR(COUNTIFS(Object_Log!$N$2:$N$2000,"Partner stack",Object_Log!$M$2:$M$2000,"&lt;&gt;Decommission",Object_Log!$H$2:$H$2000,"Simple",Object_Log!$P$2:$P$2000,"Y",Object_Log!$U$2:$U$2000,"Y")/C11,0)</f>
        <v>0.25</v>
      </c>
      <c r="J11" s="15" t="n">
        <f aca="false">IFERROR(AVERAGEIFS(Object_Log!$V$2:$V$2000,Object_Log!$N$2:$N$2000,"Partner stack",Object_Log!$M$2:$M$2000,"&lt;&gt;Decommission",Object_Log!$H$2:$H$2000,"Simple",Object_Log!$P$2:$P$2000,"Y",Object_Log!$U$2:$U$2000,"Y"),0)</f>
        <v>35</v>
      </c>
      <c r="K11" s="14" t="n">
        <f aca="false">IFERROR(COUNTIFS(Object_Log!$N$2:$N$2000,"Partner stack",Object_Log!$M$2:$M$2000,"&lt;&gt;Decommission",Object_Log!$H$2:$H$2000,"Simple",Object_Log!$P$2:$P$2000,"Y",Object_Log!$Y$2:$Y$2000,"Y")/C11,0)</f>
        <v>0</v>
      </c>
      <c r="L11" s="15" t="n">
        <f aca="false">IFERROR(AVERAGEIFS(Object_Log!$AI$2:$AI$2000,Object_Log!$N$2:$N$2000,"Partner stack",Object_Log!$M$2:$M$2000,"&lt;&gt;Decommission",Object_Log!$H$2:$H$2000,"Simple",Object_Log!$P$2:$P$2000,"Y"),0)</f>
        <v>185</v>
      </c>
      <c r="M11" s="15" t="n">
        <f aca="false">IFERROR(AVERAGEIFS(Object_Log!$AJ$2:$AJ$2000,Object_Log!$N$2:$N$2000,"Partner stack",Object_Log!$M$2:$M$2000,"&lt;&gt;Decommission",Object_Log!$H$2:$H$2000,"Simple",Object_Log!$P$2:$P$2000,"Y"),0)</f>
        <v>26.25</v>
      </c>
    </row>
    <row r="12" customFormat="false" ht="15" hidden="false" customHeight="false" outlineLevel="0" collapsed="false">
      <c r="A12" s="12" t="s">
        <v>130</v>
      </c>
      <c r="B12" s="13" t="n">
        <f aca="false">COUNTIFS(Object_Log!$N$2:$N$2000,"Partner stack",Object_Log!$M$2:$M$2000,"&lt;&gt;Decommission",Object_Log!$H$2:$H$2000,"Medium")</f>
        <v>4</v>
      </c>
      <c r="C12" s="13" t="n">
        <f aca="false">COUNTIFS(Object_Log!$N$2:$N$2000,"Partner stack",Object_Log!$M$2:$M$2000,"&lt;&gt;Decommission",Object_Log!$H$2:$H$2000,"Medium",Object_Log!$P$2:$P$2000,"Y")</f>
        <v>4</v>
      </c>
      <c r="D12" s="14" t="n">
        <f aca="false">IFERROR(C12/B12,0)</f>
        <v>1</v>
      </c>
      <c r="E12" s="15" t="n">
        <f aca="false">IFERROR(AVERAGEIFS(Object_Log!$Q$2:$Q$2000,Object_Log!$N$2:$N$2000,"Partner stack",Object_Log!$M$2:$M$2000,"&lt;&gt;Decommission",Object_Log!$H$2:$H$2000,"Medium",Object_Log!$P$2:$P$2000,"Y")+AVERAGEIFS(Object_Log!$R$2:$R$2000,Object_Log!$N$2:$N$2000,"Partner stack",Object_Log!$M$2:$M$2000,"&lt;&gt;Decommission",Object_Log!$H$2:$H$2000,"Medium",Object_Log!$P$2:$P$2000,"Y"),0)</f>
        <v>68.75</v>
      </c>
      <c r="F12" s="14" t="n">
        <f aca="false">IFERROR(1-E12/$D$5,0)</f>
        <v>0.672619047619048</v>
      </c>
      <c r="G12" s="15" t="n">
        <f aca="false">IFERROR(AVERAGEIFS(Object_Log!$S$2:$S$2000,Object_Log!$N$2:$N$2000,"Partner stack",Object_Log!$M$2:$M$2000,"&lt;&gt;Decommission",Object_Log!$H$2:$H$2000,"Medium",Object_Log!$P$2:$P$2000,"Y"),0)</f>
        <v>19</v>
      </c>
      <c r="H12" s="14" t="n">
        <f aca="false">IFERROR(G12/($D$5-E12),0)</f>
        <v>0.134513274336283</v>
      </c>
      <c r="I12" s="14" t="n">
        <f aca="false">IFERROR(COUNTIFS(Object_Log!$N$2:$N$2000,"Partner stack",Object_Log!$M$2:$M$2000,"&lt;&gt;Decommission",Object_Log!$H$2:$H$2000,"Medium",Object_Log!$P$2:$P$2000,"Y",Object_Log!$U$2:$U$2000,"Y")/C12,0)</f>
        <v>0.25</v>
      </c>
      <c r="J12" s="15" t="n">
        <f aca="false">IFERROR(AVERAGEIFS(Object_Log!$V$2:$V$2000,Object_Log!$N$2:$N$2000,"Partner stack",Object_Log!$M$2:$M$2000,"&lt;&gt;Decommission",Object_Log!$H$2:$H$2000,"Medium",Object_Log!$P$2:$P$2000,"Y",Object_Log!$U$2:$U$2000,"Y"),0)</f>
        <v>60</v>
      </c>
      <c r="K12" s="14" t="n">
        <f aca="false">IFERROR(COUNTIFS(Object_Log!$N$2:$N$2000,"Partner stack",Object_Log!$M$2:$M$2000,"&lt;&gt;Decommission",Object_Log!$H$2:$H$2000,"Medium",Object_Log!$P$2:$P$2000,"Y",Object_Log!$Y$2:$Y$2000,"Y")/C12,0)</f>
        <v>0.25</v>
      </c>
      <c r="L12" s="15" t="n">
        <f aca="false">IFERROR(AVERAGEIFS(Object_Log!$AI$2:$AI$2000,Object_Log!$N$2:$N$2000,"Partner stack",Object_Log!$M$2:$M$2000,"&lt;&gt;Decommission",Object_Log!$H$2:$H$2000,"Medium",Object_Log!$P$2:$P$2000,"Y"),0)</f>
        <v>252.5</v>
      </c>
      <c r="M12" s="15" t="n">
        <f aca="false">IFERROR(AVERAGEIFS(Object_Log!$AJ$2:$AJ$2000,Object_Log!$N$2:$N$2000,"Partner stack",Object_Log!$M$2:$M$2000,"&lt;&gt;Decommission",Object_Log!$H$2:$H$2000,"Medium",Object_Log!$P$2:$P$2000,"Y"),0)</f>
        <v>36.25</v>
      </c>
    </row>
    <row r="13" customFormat="false" ht="15" hidden="false" customHeight="false" outlineLevel="0" collapsed="false">
      <c r="A13" s="12" t="s">
        <v>151</v>
      </c>
      <c r="B13" s="13" t="n">
        <f aca="false">COUNTIFS(Object_Log!$N$2:$N$2000,"Partner stack",Object_Log!$M$2:$M$2000,"&lt;&gt;Decommission",Object_Log!$H$2:$H$2000,"Complex")</f>
        <v>4</v>
      </c>
      <c r="C13" s="13" t="n">
        <f aca="false">COUNTIFS(Object_Log!$N$2:$N$2000,"Partner stack",Object_Log!$M$2:$M$2000,"&lt;&gt;Decommission",Object_Log!$H$2:$H$2000,"Complex",Object_Log!$P$2:$P$2000,"Y")</f>
        <v>2</v>
      </c>
      <c r="D13" s="14" t="n">
        <f aca="false">IFERROR(C13/B13,0)</f>
        <v>0.5</v>
      </c>
      <c r="E13" s="15" t="n">
        <f aca="false">IFERROR(AVERAGEIFS(Object_Log!$Q$2:$Q$2000,Object_Log!$N$2:$N$2000,"Partner stack",Object_Log!$M$2:$M$2000,"&lt;&gt;Decommission",Object_Log!$H$2:$H$2000,"Complex",Object_Log!$P$2:$P$2000,"Y")+AVERAGEIFS(Object_Log!$R$2:$R$2000,Object_Log!$N$2:$N$2000,"Partner stack",Object_Log!$M$2:$M$2000,"&lt;&gt;Decommission",Object_Log!$H$2:$H$2000,"Complex",Object_Log!$P$2:$P$2000,"Y"),0)</f>
        <v>177.5</v>
      </c>
      <c r="F13" s="14" t="n">
        <f aca="false">IFERROR(1-E13/$F$5,0)</f>
        <v>0.577380952380952</v>
      </c>
      <c r="G13" s="15" t="n">
        <f aca="false">IFERROR(AVERAGEIFS(Object_Log!$S$2:$S$2000,Object_Log!$N$2:$N$2000,"Partner stack",Object_Log!$M$2:$M$2000,"&lt;&gt;Decommission",Object_Log!$H$2:$H$2000,"Complex",Object_Log!$P$2:$P$2000,"Y"),0)</f>
        <v>47.5</v>
      </c>
      <c r="H13" s="14" t="n">
        <f aca="false">IFERROR(G13/($F$5-E13),0)</f>
        <v>0.195876288659794</v>
      </c>
      <c r="I13" s="14" t="n">
        <f aca="false">IFERROR(COUNTIFS(Object_Log!$N$2:$N$2000,"Partner stack",Object_Log!$M$2:$M$2000,"&lt;&gt;Decommission",Object_Log!$H$2:$H$2000,"Complex",Object_Log!$P$2:$P$2000,"Y",Object_Log!$U$2:$U$2000,"Y")/C13,0)</f>
        <v>0</v>
      </c>
      <c r="J13" s="15" t="n">
        <f aca="false">IFERROR(AVERAGEIFS(Object_Log!$V$2:$V$2000,Object_Log!$N$2:$N$2000,"Partner stack",Object_Log!$M$2:$M$2000,"&lt;&gt;Decommission",Object_Log!$H$2:$H$2000,"Complex",Object_Log!$P$2:$P$2000,"Y",Object_Log!$U$2:$U$2000,"Y"),0)</f>
        <v>0</v>
      </c>
      <c r="K13" s="14" t="n">
        <f aca="false">IFERROR(COUNTIFS(Object_Log!$N$2:$N$2000,"Partner stack",Object_Log!$M$2:$M$2000,"&lt;&gt;Decommission",Object_Log!$H$2:$H$2000,"Complex",Object_Log!$P$2:$P$2000,"Y",Object_Log!$Y$2:$Y$2000,"Y")/C13,0)</f>
        <v>0</v>
      </c>
      <c r="L13" s="15" t="n">
        <f aca="false">IFERROR(AVERAGEIFS(Object_Log!$AI$2:$AI$2000,Object_Log!$N$2:$N$2000,"Partner stack",Object_Log!$M$2:$M$2000,"&lt;&gt;Decommission",Object_Log!$H$2:$H$2000,"Complex",Object_Log!$P$2:$P$2000,"Y"),0)</f>
        <v>540</v>
      </c>
      <c r="M13" s="15" t="n">
        <f aca="false">IFERROR(AVERAGEIFS(Object_Log!$AJ$2:$AJ$2000,Object_Log!$N$2:$N$2000,"Partner stack",Object_Log!$M$2:$M$2000,"&lt;&gt;Decommission",Object_Log!$H$2:$H$2000,"Complex",Object_Log!$P$2:$P$2000,"Y"),0)</f>
        <v>82.5</v>
      </c>
    </row>
    <row r="14" customFormat="false" ht="15" hidden="false" customHeight="false" outlineLevel="0" collapsed="false">
      <c r="A14" s="12" t="s">
        <v>215</v>
      </c>
      <c r="B14" s="16" t="n">
        <f aca="false">SUM(B11:B13)</f>
        <v>12</v>
      </c>
      <c r="C14" s="16" t="n">
        <f aca="false">SUM(C11:C13)</f>
        <v>10</v>
      </c>
      <c r="D14" s="17" t="n">
        <f aca="false">IFERROR(C14/B14,0)</f>
        <v>0.833333333333333</v>
      </c>
      <c r="E14" s="18" t="n">
        <f aca="false">IFERROR((C11*E11+C12*E12+C13*E13)/C14,0)</f>
        <v>71.7</v>
      </c>
      <c r="F14" s="17" t="n">
        <f aca="false">IFERROR(1-(C11*E11+C12*E12+C13*E13)/(C11*$B$5+C12*$D$5+C13*$F$5),0)</f>
        <v>0.648529411764706</v>
      </c>
      <c r="G14" s="18" t="n">
        <f aca="false">IFERROR((C11*G11+C12*G12+C13*G13)/C14,0)</f>
        <v>20.1</v>
      </c>
      <c r="H14" s="17" t="n">
        <f aca="false">IFERROR((C11*G11+C12*G12+C13*G13)/(C11*($B$5-E11)+C12*($D$5-E12)+C13*($F$5-E13)),0)</f>
        <v>0.151927437641723</v>
      </c>
      <c r="I14" s="17" t="n">
        <f aca="false">IFERROR((C11*I11+C12*I12+C13*I13)/C14,0)</f>
        <v>0.2</v>
      </c>
      <c r="J14" s="18" t="n">
        <f aca="false">IFERROR(AVERAGEIFS(Object_Log!$V$2:$V$2000,Object_Log!$N$2:$N$2000,"Partner stack",Object_Log!$M$2:$M$2000,"&lt;&gt;Decommission",Object_Log!$P$2:$P$2000,"Y",Object_Log!$U$2:$U$2000,"Y"),0)</f>
        <v>47.5</v>
      </c>
      <c r="K14" s="17" t="n">
        <f aca="false">IFERROR((C11*K11+C12*K12+C13*K13)/C14,0)</f>
        <v>0.1</v>
      </c>
      <c r="L14" s="18" t="n">
        <f aca="false">IFERROR((C11*L11+C12*L12+C13*L13)/C14,0)</f>
        <v>283</v>
      </c>
      <c r="M14" s="18" t="n">
        <f aca="false">IFERROR((C11*M11+C12*M12+C13*M13)/C14,0)</f>
        <v>41.5</v>
      </c>
    </row>
    <row r="15" customFormat="false" ht="15" hidden="false" customHeight="false" outlineLevel="0" collapsed="false">
      <c r="A15" s="7" t="s">
        <v>216</v>
      </c>
    </row>
    <row r="17" customFormat="false" ht="15" hidden="false" customHeight="false" outlineLevel="0" collapsed="false">
      <c r="A17" s="3" t="s">
        <v>217</v>
      </c>
    </row>
    <row r="18" customFormat="false" ht="25.5" hidden="false" customHeight="true" outlineLevel="0" collapsed="false">
      <c r="A18" s="11" t="s">
        <v>137</v>
      </c>
      <c r="B18" s="11" t="s">
        <v>203</v>
      </c>
      <c r="C18" s="11" t="s">
        <v>205</v>
      </c>
      <c r="D18" s="11" t="s">
        <v>207</v>
      </c>
      <c r="E18" s="11" t="s">
        <v>209</v>
      </c>
      <c r="F18" s="11" t="s">
        <v>210</v>
      </c>
      <c r="G18" s="11" t="s">
        <v>218</v>
      </c>
      <c r="H18" s="11" t="s">
        <v>219</v>
      </c>
      <c r="I18" s="11" t="s">
        <v>220</v>
      </c>
      <c r="J18" s="11" t="s">
        <v>221</v>
      </c>
      <c r="K18" s="11" t="s">
        <v>222</v>
      </c>
    </row>
    <row r="19" customFormat="false" ht="15" hidden="false" customHeight="false" outlineLevel="0" collapsed="false">
      <c r="A19" s="12" t="s">
        <v>92</v>
      </c>
      <c r="B19" s="13" t="n">
        <f aca="false">COUNTIFS(Object_Log!$N$2:$N$2000,"Vanilla control",Object_Log!$M$2:$M$2000,"&lt;&gt;Decommission",Object_Log!$H$2:$H$2000,"Simple")</f>
        <v>1</v>
      </c>
      <c r="C19" s="14" t="n">
        <f aca="false">IFERROR(COUNTIFS(Object_Log!$N$2:$N$2000,"Vanilla control",Object_Log!$M$2:$M$2000,"&lt;&gt;Decommission",Object_Log!$H$2:$H$2000,"Simple",Object_Log!$P$2:$P$2000,"Y")/B19,0)</f>
        <v>1</v>
      </c>
      <c r="D19" s="14" t="n">
        <f aca="false">IFERROR(1-(AVERAGEIFS(Object_Log!$Q$2:$Q$2000,Object_Log!$N$2:$N$2000,"Vanilla control",Object_Log!$M$2:$M$2000,"&lt;&gt;Decommission",Object_Log!$H$2:$H$2000,"Simple",Object_Log!$P$2:$P$2000,"Y")+AVERAGEIFS(Object_Log!$R$2:$R$2000,Object_Log!$N$2:$N$2000,"Vanilla control",Object_Log!$M$2:$M$2000,"&lt;&gt;Decommission",Object_Log!$H$2:$H$2000,"Simple",Object_Log!$P$2:$P$2000,"Y"))/$B$5,0)</f>
        <v>0.588888888888889</v>
      </c>
      <c r="E19" s="14" t="n">
        <f aca="false">IFERROR(AVERAGEIFS(Object_Log!$S$2:$S$2000,Object_Log!$N$2:$N$2000,"Vanilla control",Object_Log!$M$2:$M$2000,"&lt;&gt;Decommission",Object_Log!$H$2:$H$2000,"Simple",Object_Log!$P$2:$P$2000,"Y")/($B$5-(AVERAGEIFS(Object_Log!$Q$2:$Q$2000,Object_Log!$N$2:$N$2000,"Vanilla control",Object_Log!$M$2:$M$2000,"&lt;&gt;Decommission",Object_Log!$H$2:$H$2000,"Simple",Object_Log!$P$2:$P$2000,"Y")+AVERAGEIFS(Object_Log!$R$2:$R$2000,Object_Log!$N$2:$N$2000,"Vanilla control",Object_Log!$M$2:$M$2000,"&lt;&gt;Decommission",Object_Log!$H$2:$H$2000,"Simple",Object_Log!$P$2:$P$2000,"Y"))),0)</f>
        <v>0.264150943396226</v>
      </c>
      <c r="F19" s="14" t="n">
        <f aca="false">IFERROR(COUNTIFS(Object_Log!$N$2:$N$2000,"Vanilla control",Object_Log!$M$2:$M$2000,"&lt;&gt;Decommission",Object_Log!$H$2:$H$2000,"Simple",Object_Log!$P$2:$P$2000,"Y",Object_Log!$U$2:$U$2000,"Y")/COUNTIFS(Object_Log!$N$2:$N$2000,"Vanilla control",Object_Log!$M$2:$M$2000,"&lt;&gt;Decommission",Object_Log!$H$2:$H$2000,"Simple",Object_Log!$P$2:$P$2000,"Y"),0)</f>
        <v>0</v>
      </c>
      <c r="G19" s="15" t="n">
        <f aca="false">IFERROR(AVERAGEIFS(Object_Log!$AI$2:$AI$2000,Object_Log!$N$2:$N$2000,"Vanilla control",Object_Log!$M$2:$M$2000,"&lt;&gt;Decommission",Object_Log!$H$2:$H$2000,"Simple",Object_Log!$P$2:$P$2000,"Y")+AVERAGEIFS(Object_Log!$AJ$2:$AJ$2000,Object_Log!$N$2:$N$2000,"Vanilla control",Object_Log!$M$2:$M$2000,"&lt;&gt;Decommission",Object_Log!$H$2:$H$2000,"Simple",Object_Log!$P$2:$P$2000,"Y"),0)</f>
        <v>298</v>
      </c>
      <c r="H19" s="14" t="n">
        <f aca="false">IF(B19=0,"—",F11-D19)</f>
        <v>0.169444444444444</v>
      </c>
      <c r="I19" s="14" t="n">
        <f aca="false">IF(B19=0,"—",H11-E19)</f>
        <v>-0.154260833506117</v>
      </c>
      <c r="J19" s="14" t="n">
        <f aca="false">IF(B19=0,"—",I11-F19)</f>
        <v>0.25</v>
      </c>
      <c r="K19" s="15" t="n">
        <f aca="false">IF(B19=0,"—",(L11+M11)-G19)</f>
        <v>-86.75</v>
      </c>
    </row>
    <row r="20" customFormat="false" ht="15" hidden="false" customHeight="false" outlineLevel="0" collapsed="false">
      <c r="A20" s="12" t="s">
        <v>130</v>
      </c>
      <c r="B20" s="13" t="n">
        <f aca="false">COUNTIFS(Object_Log!$N$2:$N$2000,"Vanilla control",Object_Log!$M$2:$M$2000,"&lt;&gt;Decommission",Object_Log!$H$2:$H$2000,"Medium")</f>
        <v>1</v>
      </c>
      <c r="C20" s="14" t="n">
        <f aca="false">IFERROR(COUNTIFS(Object_Log!$N$2:$N$2000,"Vanilla control",Object_Log!$M$2:$M$2000,"&lt;&gt;Decommission",Object_Log!$H$2:$H$2000,"Medium",Object_Log!$P$2:$P$2000,"Y")/B20,0)</f>
        <v>1</v>
      </c>
      <c r="D20" s="14" t="n">
        <f aca="false">IFERROR(1-(AVERAGEIFS(Object_Log!$Q$2:$Q$2000,Object_Log!$N$2:$N$2000,"Vanilla control",Object_Log!$M$2:$M$2000,"&lt;&gt;Decommission",Object_Log!$H$2:$H$2000,"Medium",Object_Log!$P$2:$P$2000,"Y")+AVERAGEIFS(Object_Log!$R$2:$R$2000,Object_Log!$N$2:$N$2000,"Vanilla control",Object_Log!$M$2:$M$2000,"&lt;&gt;Decommission",Object_Log!$H$2:$H$2000,"Medium",Object_Log!$P$2:$P$2000,"Y"))/$D$5,0)</f>
        <v>0.471428571428571</v>
      </c>
      <c r="E20" s="14" t="n">
        <f aca="false">IFERROR(AVERAGEIFS(Object_Log!$S$2:$S$2000,Object_Log!$N$2:$N$2000,"Vanilla control",Object_Log!$M$2:$M$2000,"&lt;&gt;Decommission",Object_Log!$H$2:$H$2000,"Medium",Object_Log!$P$2:$P$2000,"Y")/($D$5-(AVERAGEIFS(Object_Log!$Q$2:$Q$2000,Object_Log!$N$2:$N$2000,"Vanilla control",Object_Log!$M$2:$M$2000,"&lt;&gt;Decommission",Object_Log!$H$2:$H$2000,"Medium",Object_Log!$P$2:$P$2000,"Y")+AVERAGEIFS(Object_Log!$R$2:$R$2000,Object_Log!$N$2:$N$2000,"Vanilla control",Object_Log!$M$2:$M$2000,"&lt;&gt;Decommission",Object_Log!$H$2:$H$2000,"Medium",Object_Log!$P$2:$P$2000,"Y"))),0)</f>
        <v>0.303030303030303</v>
      </c>
      <c r="F20" s="14" t="n">
        <f aca="false">IFERROR(COUNTIFS(Object_Log!$N$2:$N$2000,"Vanilla control",Object_Log!$M$2:$M$2000,"&lt;&gt;Decommission",Object_Log!$H$2:$H$2000,"Medium",Object_Log!$P$2:$P$2000,"Y",Object_Log!$U$2:$U$2000,"Y")/COUNTIFS(Object_Log!$N$2:$N$2000,"Vanilla control",Object_Log!$M$2:$M$2000,"&lt;&gt;Decommission",Object_Log!$H$2:$H$2000,"Medium",Object_Log!$P$2:$P$2000,"Y"),0)</f>
        <v>1</v>
      </c>
      <c r="G20" s="15" t="n">
        <f aca="false">IFERROR(AVERAGEIFS(Object_Log!$AI$2:$AI$2000,Object_Log!$N$2:$N$2000,"Vanilla control",Object_Log!$M$2:$M$2000,"&lt;&gt;Decommission",Object_Log!$H$2:$H$2000,"Medium",Object_Log!$P$2:$P$2000,"Y")+AVERAGEIFS(Object_Log!$AJ$2:$AJ$2000,Object_Log!$N$2:$N$2000,"Vanilla control",Object_Log!$M$2:$M$2000,"&lt;&gt;Decommission",Object_Log!$H$2:$H$2000,"Medium",Object_Log!$P$2:$P$2000,"Y"),0)</f>
        <v>345</v>
      </c>
      <c r="H20" s="14" t="n">
        <f aca="false">IF(B20=0,"—",F12-D20)</f>
        <v>0.201190476190476</v>
      </c>
      <c r="I20" s="14" t="n">
        <f aca="false">IF(B20=0,"—",H12-E20)</f>
        <v>-0.16851702869402</v>
      </c>
      <c r="J20" s="14" t="n">
        <f aca="false">IF(B20=0,"—",I12-F20)</f>
        <v>-0.75</v>
      </c>
      <c r="K20" s="15" t="n">
        <f aca="false">IF(B20=0,"—",(L12+M12)-G20)</f>
        <v>-56.25</v>
      </c>
    </row>
    <row r="21" customFormat="false" ht="15" hidden="false" customHeight="false" outlineLevel="0" collapsed="false">
      <c r="A21" s="12" t="s">
        <v>151</v>
      </c>
      <c r="B21" s="13" t="n">
        <f aca="false">COUNTIFS(Object_Log!$N$2:$N$2000,"Vanilla control",Object_Log!$M$2:$M$2000,"&lt;&gt;Decommission",Object_Log!$H$2:$H$2000,"Complex")</f>
        <v>1</v>
      </c>
      <c r="C21" s="14" t="n">
        <f aca="false">IFERROR(COUNTIFS(Object_Log!$N$2:$N$2000,"Vanilla control",Object_Log!$M$2:$M$2000,"&lt;&gt;Decommission",Object_Log!$H$2:$H$2000,"Complex",Object_Log!$P$2:$P$2000,"Y")/B21,0)</f>
        <v>1</v>
      </c>
      <c r="D21" s="14" t="n">
        <f aca="false">IFERROR(1-(AVERAGEIFS(Object_Log!$Q$2:$Q$2000,Object_Log!$N$2:$N$2000,"Vanilla control",Object_Log!$M$2:$M$2000,"&lt;&gt;Decommission",Object_Log!$H$2:$H$2000,"Complex",Object_Log!$P$2:$P$2000,"Y")+AVERAGEIFS(Object_Log!$R$2:$R$2000,Object_Log!$N$2:$N$2000,"Vanilla control",Object_Log!$M$2:$M$2000,"&lt;&gt;Decommission",Object_Log!$H$2:$H$2000,"Complex",Object_Log!$P$2:$P$2000,"Y"))/$F$5,0)</f>
        <v>0.345238095238095</v>
      </c>
      <c r="E21" s="14" t="n">
        <f aca="false">IFERROR(AVERAGEIFS(Object_Log!$S$2:$S$2000,Object_Log!$N$2:$N$2000,"Vanilla control",Object_Log!$M$2:$M$2000,"&lt;&gt;Decommission",Object_Log!$H$2:$H$2000,"Complex",Object_Log!$P$2:$P$2000,"Y")/($F$5-(AVERAGEIFS(Object_Log!$Q$2:$Q$2000,Object_Log!$N$2:$N$2000,"Vanilla control",Object_Log!$M$2:$M$2000,"&lt;&gt;Decommission",Object_Log!$H$2:$H$2000,"Complex",Object_Log!$P$2:$P$2000,"Y")+AVERAGEIFS(Object_Log!$R$2:$R$2000,Object_Log!$N$2:$N$2000,"Vanilla control",Object_Log!$M$2:$M$2000,"&lt;&gt;Decommission",Object_Log!$H$2:$H$2000,"Complex",Object_Log!$P$2:$P$2000,"Y"))),0)</f>
        <v>0.482758620689655</v>
      </c>
      <c r="F21" s="14" t="n">
        <f aca="false">IFERROR(COUNTIFS(Object_Log!$N$2:$N$2000,"Vanilla control",Object_Log!$M$2:$M$2000,"&lt;&gt;Decommission",Object_Log!$H$2:$H$2000,"Complex",Object_Log!$P$2:$P$2000,"Y",Object_Log!$U$2:$U$2000,"Y")/COUNTIFS(Object_Log!$N$2:$N$2000,"Vanilla control",Object_Log!$M$2:$M$2000,"&lt;&gt;Decommission",Object_Log!$H$2:$H$2000,"Complex",Object_Log!$P$2:$P$2000,"Y"),0)</f>
        <v>0</v>
      </c>
      <c r="G21" s="15" t="n">
        <f aca="false">IFERROR(AVERAGEIFS(Object_Log!$AI$2:$AI$2000,Object_Log!$N$2:$N$2000,"Vanilla control",Object_Log!$M$2:$M$2000,"&lt;&gt;Decommission",Object_Log!$H$2:$H$2000,"Complex",Object_Log!$P$2:$P$2000,"Y")+AVERAGEIFS(Object_Log!$AJ$2:$AJ$2000,Object_Log!$N$2:$N$2000,"Vanilla control",Object_Log!$M$2:$M$2000,"&lt;&gt;Decommission",Object_Log!$H$2:$H$2000,"Complex",Object_Log!$P$2:$P$2000,"Y"),0)</f>
        <v>810</v>
      </c>
      <c r="H21" s="14" t="n">
        <f aca="false">IF(B21=0,"—",F13-D21)</f>
        <v>0.232142857142857</v>
      </c>
      <c r="I21" s="14" t="n">
        <f aca="false">IF(B21=0,"—",H13-E21)</f>
        <v>-0.286882332029861</v>
      </c>
      <c r="J21" s="14" t="n">
        <f aca="false">IF(B21=0,"—",I13-F21)</f>
        <v>0</v>
      </c>
      <c r="K21" s="15" t="n">
        <f aca="false">IF(B21=0,"—",(L13+M13)-G21)</f>
        <v>-187.5</v>
      </c>
    </row>
    <row r="22" customFormat="false" ht="15" hidden="false" customHeight="false" outlineLevel="0" collapsed="false">
      <c r="A22" s="7" t="s">
        <v>223</v>
      </c>
    </row>
    <row r="24" customFormat="false" ht="15" hidden="false" customHeight="false" outlineLevel="0" collapsed="false">
      <c r="A24" s="3" t="s">
        <v>224</v>
      </c>
    </row>
    <row r="25" customFormat="false" ht="25.5" hidden="false" customHeight="true" outlineLevel="0" collapsed="false">
      <c r="A25" s="11" t="s">
        <v>137</v>
      </c>
      <c r="B25" s="11" t="s">
        <v>225</v>
      </c>
      <c r="C25" s="11" t="s">
        <v>205</v>
      </c>
      <c r="D25" s="11" t="s">
        <v>207</v>
      </c>
      <c r="E25" s="11" t="s">
        <v>209</v>
      </c>
      <c r="F25" s="11" t="s">
        <v>210</v>
      </c>
      <c r="G25" s="11" t="s">
        <v>211</v>
      </c>
      <c r="H25" s="11" t="s">
        <v>212</v>
      </c>
      <c r="I25" s="11" t="s">
        <v>213</v>
      </c>
      <c r="J25" s="11" t="s">
        <v>214</v>
      </c>
      <c r="K25" s="11" t="s">
        <v>226</v>
      </c>
    </row>
    <row r="26" customFormat="false" ht="15" hidden="false" customHeight="false" outlineLevel="0" collapsed="false">
      <c r="A26" s="12" t="s">
        <v>92</v>
      </c>
      <c r="B26" s="13" t="n">
        <f aca="false">COUNTIFS(Object_Log!$N$2:$N$2000,"Partner stack",Object_Log!$M$2:$M$2000,"&lt;&gt;Decommission",Object_Log!$AF$2:$AF$2000,$B$7,Object_Log!$H$2:$H$2000,"Simple")</f>
        <v>4</v>
      </c>
      <c r="C26" s="14" t="n">
        <f aca="false">IFERROR(COUNTIFS(Object_Log!$N$2:$N$2000,"Partner stack",Object_Log!$M$2:$M$2000,"&lt;&gt;Decommission",Object_Log!$AF$2:$AF$2000,$B$7,Object_Log!$H$2:$H$2000,"Simple",Object_Log!$P$2:$P$2000,"Y")/B26,0)</f>
        <v>1</v>
      </c>
      <c r="D26" s="14" t="n">
        <f aca="false">IFERROR(1-(AVERAGEIFS(Object_Log!$Q$2:$Q$2000,Object_Log!$N$2:$N$2000,"Partner stack",Object_Log!$M$2:$M$2000,"&lt;&gt;Decommission",Object_Log!$AF$2:$AF$2000,$B$7,Object_Log!$H$2:$H$2000,"Simple",Object_Log!$P$2:$P$2000,"Y")+AVERAGEIFS(Object_Log!$R$2:$R$2000,Object_Log!$N$2:$N$2000,"Partner stack",Object_Log!$M$2:$M$2000,"&lt;&gt;Decommission",Object_Log!$AF$2:$AF$2000,$B$7,Object_Log!$H$2:$H$2000,"Simple",Object_Log!$P$2:$P$2000,"Y"))/$B$5,0)</f>
        <v>0.758333333333333</v>
      </c>
      <c r="E26" s="14" t="n">
        <f aca="false">IFERROR(AVERAGEIFS(Object_Log!$S$2:$S$2000,Object_Log!$N$2:$N$2000,"Partner stack",Object_Log!$M$2:$M$2000,"&lt;&gt;Decommission",Object_Log!$AF$2:$AF$2000,$B$7,Object_Log!$H$2:$H$2000,"Simple",Object_Log!$P$2:$P$2000,"Y")/($B$5-(AVERAGEIFS(Object_Log!$Q$2:$Q$2000,Object_Log!$N$2:$N$2000,"Partner stack",Object_Log!$M$2:$M$2000,"&lt;&gt;Decommission",Object_Log!$AF$2:$AF$2000,$B$7,Object_Log!$H$2:$H$2000,"Simple",Object_Log!$P$2:$P$2000,"Y")+AVERAGEIFS(Object_Log!$R$2:$R$2000,Object_Log!$N$2:$N$2000,"Partner stack",Object_Log!$M$2:$M$2000,"&lt;&gt;Decommission",Object_Log!$AF$2:$AF$2000,$B$7,Object_Log!$H$2:$H$2000,"Simple",Object_Log!$P$2:$P$2000,"Y"))),0)</f>
        <v>0.10989010989011</v>
      </c>
      <c r="F26" s="14" t="n">
        <f aca="false">IFERROR(COUNTIFS(Object_Log!$N$2:$N$2000,"Partner stack",Object_Log!$M$2:$M$2000,"&lt;&gt;Decommission",Object_Log!$AF$2:$AF$2000,$B$7,Object_Log!$H$2:$H$2000,"Simple",Object_Log!$P$2:$P$2000,"Y",Object_Log!$U$2:$U$2000,"Y")/COUNTIFS(Object_Log!$N$2:$N$2000,"Partner stack",Object_Log!$M$2:$M$2000,"&lt;&gt;Decommission",Object_Log!$AF$2:$AF$2000,$B$7,Object_Log!$H$2:$H$2000,"Simple",Object_Log!$P$2:$P$2000,"Y"),0)</f>
        <v>0.25</v>
      </c>
      <c r="G26" s="15" t="n">
        <f aca="false">IFERROR(AVERAGEIFS(Object_Log!$V$2:$V$2000,Object_Log!$N$2:$N$2000,"Partner stack",Object_Log!$M$2:$M$2000,"&lt;&gt;Decommission",Object_Log!$AF$2:$AF$2000,$B$7,Object_Log!$H$2:$H$2000,"Simple",Object_Log!$P$2:$P$2000,"Y",Object_Log!$U$2:$U$2000,"Y"),0)</f>
        <v>35</v>
      </c>
      <c r="H26" s="14" t="n">
        <f aca="false">IFERROR(COUNTIFS(Object_Log!$N$2:$N$2000,"Partner stack",Object_Log!$M$2:$M$2000,"&lt;&gt;Decommission",Object_Log!$AF$2:$AF$2000,$B$7,Object_Log!$H$2:$H$2000,"Simple",Object_Log!$P$2:$P$2000,"Y",Object_Log!$Y$2:$Y$2000,"Y")/COUNTIFS(Object_Log!$N$2:$N$2000,"Partner stack",Object_Log!$M$2:$M$2000,"&lt;&gt;Decommission",Object_Log!$AF$2:$AF$2000,$B$7,Object_Log!$H$2:$H$2000,"Simple",Object_Log!$P$2:$P$2000,"Y"),0)</f>
        <v>0</v>
      </c>
      <c r="I26" s="15" t="n">
        <f aca="false">IFERROR(AVERAGEIFS(Object_Log!$AI$2:$AI$2000,Object_Log!$N$2:$N$2000,"Partner stack",Object_Log!$M$2:$M$2000,"&lt;&gt;Decommission",Object_Log!$AF$2:$AF$2000,$B$7,Object_Log!$H$2:$H$2000,"Simple",Object_Log!$P$2:$P$2000,"Y"),0)</f>
        <v>185</v>
      </c>
      <c r="J26" s="15" t="n">
        <f aca="false">IFERROR(AVERAGEIFS(Object_Log!$AJ$2:$AJ$2000,Object_Log!$N$2:$N$2000,"Partner stack",Object_Log!$M$2:$M$2000,"&lt;&gt;Decommission",Object_Log!$AF$2:$AF$2000,$B$7,Object_Log!$H$2:$H$2000,"Simple",Object_Log!$P$2:$P$2000,"Y"),0)</f>
        <v>26.25</v>
      </c>
      <c r="K26" s="2" t="str">
        <f aca="false">IF(B26&gt;=$D$7,"OK","LOW n="&amp;B26)</f>
        <v>LOW n=4</v>
      </c>
    </row>
    <row r="27" customFormat="false" ht="15" hidden="false" customHeight="false" outlineLevel="0" collapsed="false">
      <c r="A27" s="12" t="s">
        <v>130</v>
      </c>
      <c r="B27" s="13" t="n">
        <f aca="false">COUNTIFS(Object_Log!$N$2:$N$2000,"Partner stack",Object_Log!$M$2:$M$2000,"&lt;&gt;Decommission",Object_Log!$AF$2:$AF$2000,$B$7,Object_Log!$H$2:$H$2000,"Medium")</f>
        <v>4</v>
      </c>
      <c r="C27" s="14" t="n">
        <f aca="false">IFERROR(COUNTIFS(Object_Log!$N$2:$N$2000,"Partner stack",Object_Log!$M$2:$M$2000,"&lt;&gt;Decommission",Object_Log!$AF$2:$AF$2000,$B$7,Object_Log!$H$2:$H$2000,"Medium",Object_Log!$P$2:$P$2000,"Y")/B27,0)</f>
        <v>1</v>
      </c>
      <c r="D27" s="14" t="n">
        <f aca="false">IFERROR(1-(AVERAGEIFS(Object_Log!$Q$2:$Q$2000,Object_Log!$N$2:$N$2000,"Partner stack",Object_Log!$M$2:$M$2000,"&lt;&gt;Decommission",Object_Log!$AF$2:$AF$2000,$B$7,Object_Log!$H$2:$H$2000,"Medium",Object_Log!$P$2:$P$2000,"Y")+AVERAGEIFS(Object_Log!$R$2:$R$2000,Object_Log!$N$2:$N$2000,"Partner stack",Object_Log!$M$2:$M$2000,"&lt;&gt;Decommission",Object_Log!$AF$2:$AF$2000,$B$7,Object_Log!$H$2:$H$2000,"Medium",Object_Log!$P$2:$P$2000,"Y"))/$D$5,0)</f>
        <v>0.672619047619048</v>
      </c>
      <c r="E27" s="14" t="n">
        <f aca="false">IFERROR(AVERAGEIFS(Object_Log!$S$2:$S$2000,Object_Log!$N$2:$N$2000,"Partner stack",Object_Log!$M$2:$M$2000,"&lt;&gt;Decommission",Object_Log!$AF$2:$AF$2000,$B$7,Object_Log!$H$2:$H$2000,"Medium",Object_Log!$P$2:$P$2000,"Y")/($D$5-(AVERAGEIFS(Object_Log!$Q$2:$Q$2000,Object_Log!$N$2:$N$2000,"Partner stack",Object_Log!$M$2:$M$2000,"&lt;&gt;Decommission",Object_Log!$AF$2:$AF$2000,$B$7,Object_Log!$H$2:$H$2000,"Medium",Object_Log!$P$2:$P$2000,"Y")+AVERAGEIFS(Object_Log!$R$2:$R$2000,Object_Log!$N$2:$N$2000,"Partner stack",Object_Log!$M$2:$M$2000,"&lt;&gt;Decommission",Object_Log!$AF$2:$AF$2000,$B$7,Object_Log!$H$2:$H$2000,"Medium",Object_Log!$P$2:$P$2000,"Y"))),0)</f>
        <v>0.134513274336283</v>
      </c>
      <c r="F27" s="14" t="n">
        <f aca="false">IFERROR(COUNTIFS(Object_Log!$N$2:$N$2000,"Partner stack",Object_Log!$M$2:$M$2000,"&lt;&gt;Decommission",Object_Log!$AF$2:$AF$2000,$B$7,Object_Log!$H$2:$H$2000,"Medium",Object_Log!$P$2:$P$2000,"Y",Object_Log!$U$2:$U$2000,"Y")/COUNTIFS(Object_Log!$N$2:$N$2000,"Partner stack",Object_Log!$M$2:$M$2000,"&lt;&gt;Decommission",Object_Log!$AF$2:$AF$2000,$B$7,Object_Log!$H$2:$H$2000,"Medium",Object_Log!$P$2:$P$2000,"Y"),0)</f>
        <v>0.25</v>
      </c>
      <c r="G27" s="15" t="n">
        <f aca="false">IFERROR(AVERAGEIFS(Object_Log!$V$2:$V$2000,Object_Log!$N$2:$N$2000,"Partner stack",Object_Log!$M$2:$M$2000,"&lt;&gt;Decommission",Object_Log!$AF$2:$AF$2000,$B$7,Object_Log!$H$2:$H$2000,"Medium",Object_Log!$P$2:$P$2000,"Y",Object_Log!$U$2:$U$2000,"Y"),0)</f>
        <v>60</v>
      </c>
      <c r="H27" s="14" t="n">
        <f aca="false">IFERROR(COUNTIFS(Object_Log!$N$2:$N$2000,"Partner stack",Object_Log!$M$2:$M$2000,"&lt;&gt;Decommission",Object_Log!$AF$2:$AF$2000,$B$7,Object_Log!$H$2:$H$2000,"Medium",Object_Log!$P$2:$P$2000,"Y",Object_Log!$Y$2:$Y$2000,"Y")/COUNTIFS(Object_Log!$N$2:$N$2000,"Partner stack",Object_Log!$M$2:$M$2000,"&lt;&gt;Decommission",Object_Log!$AF$2:$AF$2000,$B$7,Object_Log!$H$2:$H$2000,"Medium",Object_Log!$P$2:$P$2000,"Y"),0)</f>
        <v>0.25</v>
      </c>
      <c r="I27" s="15" t="n">
        <f aca="false">IFERROR(AVERAGEIFS(Object_Log!$AI$2:$AI$2000,Object_Log!$N$2:$N$2000,"Partner stack",Object_Log!$M$2:$M$2000,"&lt;&gt;Decommission",Object_Log!$AF$2:$AF$2000,$B$7,Object_Log!$H$2:$H$2000,"Medium",Object_Log!$P$2:$P$2000,"Y"),0)</f>
        <v>252.5</v>
      </c>
      <c r="J27" s="15" t="n">
        <f aca="false">IFERROR(AVERAGEIFS(Object_Log!$AJ$2:$AJ$2000,Object_Log!$N$2:$N$2000,"Partner stack",Object_Log!$M$2:$M$2000,"&lt;&gt;Decommission",Object_Log!$AF$2:$AF$2000,$B$7,Object_Log!$H$2:$H$2000,"Medium",Object_Log!$P$2:$P$2000,"Y"),0)</f>
        <v>36.25</v>
      </c>
      <c r="K27" s="2" t="str">
        <f aca="false">IF(B27&gt;=$D$7,"OK","LOW n="&amp;B27)</f>
        <v>LOW n=4</v>
      </c>
    </row>
    <row r="28" customFormat="false" ht="15" hidden="false" customHeight="false" outlineLevel="0" collapsed="false">
      <c r="A28" s="12" t="s">
        <v>151</v>
      </c>
      <c r="B28" s="13" t="n">
        <f aca="false">COUNTIFS(Object_Log!$N$2:$N$2000,"Partner stack",Object_Log!$M$2:$M$2000,"&lt;&gt;Decommission",Object_Log!$AF$2:$AF$2000,$B$7,Object_Log!$H$2:$H$2000,"Complex")</f>
        <v>4</v>
      </c>
      <c r="C28" s="14" t="n">
        <f aca="false">IFERROR(COUNTIFS(Object_Log!$N$2:$N$2000,"Partner stack",Object_Log!$M$2:$M$2000,"&lt;&gt;Decommission",Object_Log!$AF$2:$AF$2000,$B$7,Object_Log!$H$2:$H$2000,"Complex",Object_Log!$P$2:$P$2000,"Y")/B28,0)</f>
        <v>0.5</v>
      </c>
      <c r="D28" s="14" t="n">
        <f aca="false">IFERROR(1-(AVERAGEIFS(Object_Log!$Q$2:$Q$2000,Object_Log!$N$2:$N$2000,"Partner stack",Object_Log!$M$2:$M$2000,"&lt;&gt;Decommission",Object_Log!$AF$2:$AF$2000,$B$7,Object_Log!$H$2:$H$2000,"Complex",Object_Log!$P$2:$P$2000,"Y")+AVERAGEIFS(Object_Log!$R$2:$R$2000,Object_Log!$N$2:$N$2000,"Partner stack",Object_Log!$M$2:$M$2000,"&lt;&gt;Decommission",Object_Log!$AF$2:$AF$2000,$B$7,Object_Log!$H$2:$H$2000,"Complex",Object_Log!$P$2:$P$2000,"Y"))/$F$5,0)</f>
        <v>0.577380952380952</v>
      </c>
      <c r="E28" s="14" t="n">
        <f aca="false">IFERROR(AVERAGEIFS(Object_Log!$S$2:$S$2000,Object_Log!$N$2:$N$2000,"Partner stack",Object_Log!$M$2:$M$2000,"&lt;&gt;Decommission",Object_Log!$AF$2:$AF$2000,$B$7,Object_Log!$H$2:$H$2000,"Complex",Object_Log!$P$2:$P$2000,"Y")/($F$5-(AVERAGEIFS(Object_Log!$Q$2:$Q$2000,Object_Log!$N$2:$N$2000,"Partner stack",Object_Log!$M$2:$M$2000,"&lt;&gt;Decommission",Object_Log!$AF$2:$AF$2000,$B$7,Object_Log!$H$2:$H$2000,"Complex",Object_Log!$P$2:$P$2000,"Y")+AVERAGEIFS(Object_Log!$R$2:$R$2000,Object_Log!$N$2:$N$2000,"Partner stack",Object_Log!$M$2:$M$2000,"&lt;&gt;Decommission",Object_Log!$AF$2:$AF$2000,$B$7,Object_Log!$H$2:$H$2000,"Complex",Object_Log!$P$2:$P$2000,"Y"))),0)</f>
        <v>0.195876288659794</v>
      </c>
      <c r="F28" s="14" t="n">
        <f aca="false">IFERROR(COUNTIFS(Object_Log!$N$2:$N$2000,"Partner stack",Object_Log!$M$2:$M$2000,"&lt;&gt;Decommission",Object_Log!$AF$2:$AF$2000,$B$7,Object_Log!$H$2:$H$2000,"Complex",Object_Log!$P$2:$P$2000,"Y",Object_Log!$U$2:$U$2000,"Y")/COUNTIFS(Object_Log!$N$2:$N$2000,"Partner stack",Object_Log!$M$2:$M$2000,"&lt;&gt;Decommission",Object_Log!$AF$2:$AF$2000,$B$7,Object_Log!$H$2:$H$2000,"Complex",Object_Log!$P$2:$P$2000,"Y"),0)</f>
        <v>0</v>
      </c>
      <c r="G28" s="15" t="n">
        <f aca="false">IFERROR(AVERAGEIFS(Object_Log!$V$2:$V$2000,Object_Log!$N$2:$N$2000,"Partner stack",Object_Log!$M$2:$M$2000,"&lt;&gt;Decommission",Object_Log!$AF$2:$AF$2000,$B$7,Object_Log!$H$2:$H$2000,"Complex",Object_Log!$P$2:$P$2000,"Y",Object_Log!$U$2:$U$2000,"Y"),0)</f>
        <v>0</v>
      </c>
      <c r="H28" s="14" t="n">
        <f aca="false">IFERROR(COUNTIFS(Object_Log!$N$2:$N$2000,"Partner stack",Object_Log!$M$2:$M$2000,"&lt;&gt;Decommission",Object_Log!$AF$2:$AF$2000,$B$7,Object_Log!$H$2:$H$2000,"Complex",Object_Log!$P$2:$P$2000,"Y",Object_Log!$Y$2:$Y$2000,"Y")/COUNTIFS(Object_Log!$N$2:$N$2000,"Partner stack",Object_Log!$M$2:$M$2000,"&lt;&gt;Decommission",Object_Log!$AF$2:$AF$2000,$B$7,Object_Log!$H$2:$H$2000,"Complex",Object_Log!$P$2:$P$2000,"Y"),0)</f>
        <v>0</v>
      </c>
      <c r="I28" s="15" t="n">
        <f aca="false">IFERROR(AVERAGEIFS(Object_Log!$AI$2:$AI$2000,Object_Log!$N$2:$N$2000,"Partner stack",Object_Log!$M$2:$M$2000,"&lt;&gt;Decommission",Object_Log!$AF$2:$AF$2000,$B$7,Object_Log!$H$2:$H$2000,"Complex",Object_Log!$P$2:$P$2000,"Y"),0)</f>
        <v>540</v>
      </c>
      <c r="J28" s="15" t="n">
        <f aca="false">IFERROR(AVERAGEIFS(Object_Log!$AJ$2:$AJ$2000,Object_Log!$N$2:$N$2000,"Partner stack",Object_Log!$M$2:$M$2000,"&lt;&gt;Decommission",Object_Log!$AF$2:$AF$2000,$B$7,Object_Log!$H$2:$H$2000,"Complex",Object_Log!$P$2:$P$2000,"Y"),0)</f>
        <v>82.5</v>
      </c>
      <c r="K28" s="2" t="str">
        <f aca="false">IF(B28&gt;=$D$7,"OK","LOW n="&amp;B28)</f>
        <v>LOW n=4</v>
      </c>
    </row>
    <row r="29" customFormat="false" ht="15" hidden="false" customHeight="false" outlineLevel="0" collapsed="false">
      <c r="A29" s="12" t="s">
        <v>227</v>
      </c>
      <c r="B29" s="16" t="n">
        <f aca="false">SUM(B26:B28)</f>
        <v>12</v>
      </c>
      <c r="C29" s="17" t="n">
        <f aca="false">IFERROR((COUNTIFS(Object_Log!$N$2:$N$2000,"Partner stack",Object_Log!$M$2:$M$2000,"&lt;&gt;Decommission",Object_Log!$AF$2:$AF$2000,$B$7,Object_Log!$H$2:$H$2000,"Simple",Object_Log!$P$2:$P$2000,"Y")+COUNTIFS(Object_Log!$N$2:$N$2000,"Partner stack",Object_Log!$M$2:$M$2000,"&lt;&gt;Decommission",Object_Log!$AF$2:$AF$2000,$B$7,Object_Log!$H$2:$H$2000,"Medium",Object_Log!$P$2:$P$2000,"Y")+COUNTIFS(Object_Log!$N$2:$N$2000,"Partner stack",Object_Log!$M$2:$M$2000,"&lt;&gt;Decommission",Object_Log!$AF$2:$AF$2000,$B$7,Object_Log!$H$2:$H$2000,"Complex",Object_Log!$P$2:$P$2000,"Y"))/B29,0)</f>
        <v>0.833333333333333</v>
      </c>
      <c r="D29" s="17" t="n">
        <f aca="false">IFERROR(1-(COUNTIFS(Object_Log!$N$2:$N$2000,"Partner stack",Object_Log!$M$2:$M$2000,"&lt;&gt;Decommission",Object_Log!$AF$2:$AF$2000,$B$7,Object_Log!$H$2:$H$2000,"Simple",Object_Log!$P$2:$P$2000,"Y")*($B$5*(1-D26))+COUNTIFS(Object_Log!$N$2:$N$2000,"Partner stack",Object_Log!$M$2:$M$2000,"&lt;&gt;Decommission",Object_Log!$AF$2:$AF$2000,$B$7,Object_Log!$H$2:$H$2000,"Medium",Object_Log!$P$2:$P$2000,"Y")*($D$5*(1-D27))+COUNTIFS(Object_Log!$N$2:$N$2000,"Partner stack",Object_Log!$M$2:$M$2000,"&lt;&gt;Decommission",Object_Log!$AF$2:$AF$2000,$B$7,Object_Log!$H$2:$H$2000,"Complex",Object_Log!$P$2:$P$2000,"Y")*($F$5*(1-D28)))/(COUNTIFS(Object_Log!$N$2:$N$2000,"Partner stack",Object_Log!$M$2:$M$2000,"&lt;&gt;Decommission",Object_Log!$AF$2:$AF$2000,$B$7,Object_Log!$H$2:$H$2000,"Simple",Object_Log!$P$2:$P$2000,"Y")*$B$5+COUNTIFS(Object_Log!$N$2:$N$2000,"Partner stack",Object_Log!$M$2:$M$2000,"&lt;&gt;Decommission",Object_Log!$AF$2:$AF$2000,$B$7,Object_Log!$H$2:$H$2000,"Medium",Object_Log!$P$2:$P$2000,"Y")*$D$5+COUNTIFS(Object_Log!$N$2:$N$2000,"Partner stack",Object_Log!$M$2:$M$2000,"&lt;&gt;Decommission",Object_Log!$AF$2:$AF$2000,$B$7,Object_Log!$H$2:$H$2000,"Complex",Object_Log!$P$2:$P$2000,"Y")*$F$5),0)</f>
        <v>0.648529411764706</v>
      </c>
      <c r="E29" s="17" t="n">
        <f aca="false">IFERROR((COUNTIFS(Object_Log!$N$2:$N$2000,"Partner stack",Object_Log!$M$2:$M$2000,"&lt;&gt;Decommission",Object_Log!$AF$2:$AF$2000,$B$7,Object_Log!$H$2:$H$2000,"Simple",Object_Log!$P$2:$P$2000,"Y")*E26*$B$5*D26+COUNTIFS(Object_Log!$N$2:$N$2000,"Partner stack",Object_Log!$M$2:$M$2000,"&lt;&gt;Decommission",Object_Log!$AF$2:$AF$2000,$B$7,Object_Log!$H$2:$H$2000,"Medium",Object_Log!$P$2:$P$2000,"Y")*E27*$D$5*D27+COUNTIFS(Object_Log!$N$2:$N$2000,"Partner stack",Object_Log!$M$2:$M$2000,"&lt;&gt;Decommission",Object_Log!$AF$2:$AF$2000,$B$7,Object_Log!$H$2:$H$2000,"Complex",Object_Log!$P$2:$P$2000,"Y")*E28*$F$5*D28)/(COUNTIFS(Object_Log!$N$2:$N$2000,"Partner stack",Object_Log!$M$2:$M$2000,"&lt;&gt;Decommission",Object_Log!$AF$2:$AF$2000,$B$7,Object_Log!$H$2:$H$2000,"Simple",Object_Log!$P$2:$P$2000,"Y")*$B$5*D26+COUNTIFS(Object_Log!$N$2:$N$2000,"Partner stack",Object_Log!$M$2:$M$2000,"&lt;&gt;Decommission",Object_Log!$AF$2:$AF$2000,$B$7,Object_Log!$H$2:$H$2000,"Medium",Object_Log!$P$2:$P$2000,"Y")*$D$5*D27+COUNTIFS(Object_Log!$N$2:$N$2000,"Partner stack",Object_Log!$M$2:$M$2000,"&lt;&gt;Decommission",Object_Log!$AF$2:$AF$2000,$B$7,Object_Log!$H$2:$H$2000,"Complex",Object_Log!$P$2:$P$2000,"Y")*$F$5*D28),0)</f>
        <v>0.151927437641723</v>
      </c>
      <c r="F29" s="17" t="n">
        <f aca="false">IFERROR((COUNTIFS(Object_Log!$N$2:$N$2000,"Partner stack",Object_Log!$M$2:$M$2000,"&lt;&gt;Decommission",Object_Log!$AF$2:$AF$2000,$B$7,Object_Log!$H$2:$H$2000,"Simple",Object_Log!$P$2:$P$2000,"Y")*F26+COUNTIFS(Object_Log!$N$2:$N$2000,"Partner stack",Object_Log!$M$2:$M$2000,"&lt;&gt;Decommission",Object_Log!$AF$2:$AF$2000,$B$7,Object_Log!$H$2:$H$2000,"Medium",Object_Log!$P$2:$P$2000,"Y")*F27+COUNTIFS(Object_Log!$N$2:$N$2000,"Partner stack",Object_Log!$M$2:$M$2000,"&lt;&gt;Decommission",Object_Log!$AF$2:$AF$2000,$B$7,Object_Log!$H$2:$H$2000,"Complex",Object_Log!$P$2:$P$2000,"Y")*F28)/(COUNTIFS(Object_Log!$N$2:$N$2000,"Partner stack",Object_Log!$M$2:$M$2000,"&lt;&gt;Decommission",Object_Log!$AF$2:$AF$2000,$B$7,Object_Log!$H$2:$H$2000,"Simple",Object_Log!$P$2:$P$2000,"Y")+COUNTIFS(Object_Log!$N$2:$N$2000,"Partner stack",Object_Log!$M$2:$M$2000,"&lt;&gt;Decommission",Object_Log!$AF$2:$AF$2000,$B$7,Object_Log!$H$2:$H$2000,"Medium",Object_Log!$P$2:$P$2000,"Y")+COUNTIFS(Object_Log!$N$2:$N$2000,"Partner stack",Object_Log!$M$2:$M$2000,"&lt;&gt;Decommission",Object_Log!$AF$2:$AF$2000,$B$7,Object_Log!$H$2:$H$2000,"Complex",Object_Log!$P$2:$P$2000,"Y")),0)</f>
        <v>0.2</v>
      </c>
      <c r="G29" s="18" t="n">
        <f aca="false">IFERROR(AVERAGEIFS(Object_Log!$V$2:$V$2000,Object_Log!$N$2:$N$2000,"Partner stack",Object_Log!$M$2:$M$2000,"&lt;&gt;Decommission",Object_Log!$AF$2:$AF$2000,$B$7,Object_Log!$P$2:$P$2000,"Y",Object_Log!$U$2:$U$2000,"Y"),0)</f>
        <v>47.5</v>
      </c>
      <c r="H29" s="17" t="n">
        <f aca="false">IFERROR((COUNTIFS(Object_Log!$N$2:$N$2000,"Partner stack",Object_Log!$M$2:$M$2000,"&lt;&gt;Decommission",Object_Log!$AF$2:$AF$2000,$B$7,Object_Log!$H$2:$H$2000,"Simple",Object_Log!$P$2:$P$2000,"Y")*H26+COUNTIFS(Object_Log!$N$2:$N$2000,"Partner stack",Object_Log!$M$2:$M$2000,"&lt;&gt;Decommission",Object_Log!$AF$2:$AF$2000,$B$7,Object_Log!$H$2:$H$2000,"Medium",Object_Log!$P$2:$P$2000,"Y")*H27+COUNTIFS(Object_Log!$N$2:$N$2000,"Partner stack",Object_Log!$M$2:$M$2000,"&lt;&gt;Decommission",Object_Log!$AF$2:$AF$2000,$B$7,Object_Log!$H$2:$H$2000,"Complex",Object_Log!$P$2:$P$2000,"Y")*H28)/(COUNTIFS(Object_Log!$N$2:$N$2000,"Partner stack",Object_Log!$M$2:$M$2000,"&lt;&gt;Decommission",Object_Log!$AF$2:$AF$2000,$B$7,Object_Log!$H$2:$H$2000,"Simple",Object_Log!$P$2:$P$2000,"Y")+COUNTIFS(Object_Log!$N$2:$N$2000,"Partner stack",Object_Log!$M$2:$M$2000,"&lt;&gt;Decommission",Object_Log!$AF$2:$AF$2000,$B$7,Object_Log!$H$2:$H$2000,"Medium",Object_Log!$P$2:$P$2000,"Y")+COUNTIFS(Object_Log!$N$2:$N$2000,"Partner stack",Object_Log!$M$2:$M$2000,"&lt;&gt;Decommission",Object_Log!$AF$2:$AF$2000,$B$7,Object_Log!$H$2:$H$2000,"Complex",Object_Log!$P$2:$P$2000,"Y")),0)</f>
        <v>0.1</v>
      </c>
      <c r="I29" s="18" t="n">
        <f aca="false">IFERROR((COUNTIFS(Object_Log!$N$2:$N$2000,"Partner stack",Object_Log!$M$2:$M$2000,"&lt;&gt;Decommission",Object_Log!$AF$2:$AF$2000,$B$7,Object_Log!$H$2:$H$2000,"Simple",Object_Log!$P$2:$P$2000,"Y")*I26+COUNTIFS(Object_Log!$N$2:$N$2000,"Partner stack",Object_Log!$M$2:$M$2000,"&lt;&gt;Decommission",Object_Log!$AF$2:$AF$2000,$B$7,Object_Log!$H$2:$H$2000,"Medium",Object_Log!$P$2:$P$2000,"Y")*I27+COUNTIFS(Object_Log!$N$2:$N$2000,"Partner stack",Object_Log!$M$2:$M$2000,"&lt;&gt;Decommission",Object_Log!$AF$2:$AF$2000,$B$7,Object_Log!$H$2:$H$2000,"Complex",Object_Log!$P$2:$P$2000,"Y")*I28)/(COUNTIFS(Object_Log!$N$2:$N$2000,"Partner stack",Object_Log!$M$2:$M$2000,"&lt;&gt;Decommission",Object_Log!$AF$2:$AF$2000,$B$7,Object_Log!$H$2:$H$2000,"Simple",Object_Log!$P$2:$P$2000,"Y")+COUNTIFS(Object_Log!$N$2:$N$2000,"Partner stack",Object_Log!$M$2:$M$2000,"&lt;&gt;Decommission",Object_Log!$AF$2:$AF$2000,$B$7,Object_Log!$H$2:$H$2000,"Medium",Object_Log!$P$2:$P$2000,"Y")+COUNTIFS(Object_Log!$N$2:$N$2000,"Partner stack",Object_Log!$M$2:$M$2000,"&lt;&gt;Decommission",Object_Log!$AF$2:$AF$2000,$B$7,Object_Log!$H$2:$H$2000,"Complex",Object_Log!$P$2:$P$2000,"Y")),0)</f>
        <v>283</v>
      </c>
      <c r="J29" s="18" t="n">
        <f aca="false">IFERROR((COUNTIFS(Object_Log!$N$2:$N$2000,"Partner stack",Object_Log!$M$2:$M$2000,"&lt;&gt;Decommission",Object_Log!$AF$2:$AF$2000,$B$7,Object_Log!$H$2:$H$2000,"Simple",Object_Log!$P$2:$P$2000,"Y")*J26+COUNTIFS(Object_Log!$N$2:$N$2000,"Partner stack",Object_Log!$M$2:$M$2000,"&lt;&gt;Decommission",Object_Log!$AF$2:$AF$2000,$B$7,Object_Log!$H$2:$H$2000,"Medium",Object_Log!$P$2:$P$2000,"Y")*J27+COUNTIFS(Object_Log!$N$2:$N$2000,"Partner stack",Object_Log!$M$2:$M$2000,"&lt;&gt;Decommission",Object_Log!$AF$2:$AF$2000,$B$7,Object_Log!$H$2:$H$2000,"Complex",Object_Log!$P$2:$P$2000,"Y")*J28)/(COUNTIFS(Object_Log!$N$2:$N$2000,"Partner stack",Object_Log!$M$2:$M$2000,"&lt;&gt;Decommission",Object_Log!$AF$2:$AF$2000,$B$7,Object_Log!$H$2:$H$2000,"Simple",Object_Log!$P$2:$P$2000,"Y")+COUNTIFS(Object_Log!$N$2:$N$2000,"Partner stack",Object_Log!$M$2:$M$2000,"&lt;&gt;Decommission",Object_Log!$AF$2:$AF$2000,$B$7,Object_Log!$H$2:$H$2000,"Medium",Object_Log!$P$2:$P$2000,"Y")+COUNTIFS(Object_Log!$N$2:$N$2000,"Partner stack",Object_Log!$M$2:$M$2000,"&lt;&gt;Decommission",Object_Log!$AF$2:$AF$2000,$B$7,Object_Log!$H$2:$H$2000,"Complex",Object_Log!$P$2:$P$2000,"Y")),0)</f>
        <v>41.5</v>
      </c>
    </row>
    <row r="31" customFormat="false" ht="15" hidden="false" customHeight="false" outlineLevel="0" collapsed="false">
      <c r="A31" s="3" t="s">
        <v>228</v>
      </c>
    </row>
    <row r="32" customFormat="false" ht="15" hidden="false" customHeight="false" outlineLevel="0" collapsed="false">
      <c r="A32" s="2" t="s">
        <v>229</v>
      </c>
      <c r="B32" s="13" t="n">
        <f aca="false">SUMPRODUCT((Object_Log!$G$2:$G$2000&lt;&gt;Object_Log!$H$2:$H$2000)*(Object_Log!$A$2:$A$2000&lt;&gt;""))</f>
        <v>1</v>
      </c>
      <c r="C32" s="2" t="s">
        <v>230</v>
      </c>
      <c r="D32" s="13" t="n">
        <f aca="false">SUMPRODUCT((((Object_Log!$H$2:$H$2000="Simple")*1+(Object_Log!$H$2:$H$2000="Medium")*2+(Object_Log!$H$2:$H$2000="Complex")*3)&gt;((Object_Log!$G$2:$G$2000="Simple")*1+(Object_Log!$G$2:$G$2000="Medium")*2+(Object_Log!$G$2:$G$2000="Complex")*3))*1)</f>
        <v>1</v>
      </c>
      <c r="E32" s="2" t="s">
        <v>231</v>
      </c>
      <c r="F32" s="13" t="n">
        <f aca="false">SUMPRODUCT((Object_Log!$C$2:$C$2000&lt;&gt;"")/(COUNTIF(Object_Log!$C$2:$C$2000,Object_Log!$C$2:$C$2000&amp;"")+(Object_Log!$C$2:$C$2000="")))</f>
        <v>1</v>
      </c>
    </row>
    <row r="33" customFormat="false" ht="15" hidden="false" customHeight="false" outlineLevel="0" collapsed="false">
      <c r="A33" s="2" t="s">
        <v>232</v>
      </c>
      <c r="B33" s="14" t="n">
        <f aca="false">IFERROR(COUNTIFS(Object_Log!$M$2:$M$2000,"Decommission")/COUNTIF(Object_Log!$A$2:$A$2000,"?*"),0)</f>
        <v>0.0625</v>
      </c>
      <c r="C33" s="2" t="s">
        <v>233</v>
      </c>
      <c r="D33" s="15" t="n">
        <f aca="false">IFERROR(AVERAGEIFS(Object_Log!$Q$2:$Q$2000,Object_Log!$M$2:$M$2000,"Decommission")+AVERAGEIFS(Object_Log!$R$2:$R$2000,Object_Log!$M$2:$M$2000,"Decommission"),0)</f>
        <v>20</v>
      </c>
      <c r="E33" s="2" t="s">
        <v>234</v>
      </c>
      <c r="F33" s="13" t="n">
        <f aca="false">SUMPRODUCT((Object_Log!$D$2:$D$2000&lt;&gt;"")/(COUNTIF(Object_Log!$D$2:$D$2000,Object_Log!$D$2:$D$2000&amp;"")+(Object_Log!$D$2:$D$2000="")))</f>
        <v>1</v>
      </c>
    </row>
    <row r="34" customFormat="false" ht="15" hidden="false" customHeight="false" outlineLevel="0" collapsed="false">
      <c r="A34" s="2" t="s">
        <v>235</v>
      </c>
      <c r="B34" s="14" t="n">
        <f aca="false">IFERROR(COUNTIFS(Object_Log!$P$2:$P$2000,"Y",Object_Log!$T$2:$T$2000,"Y")/COUNTIFS(Object_Log!$P$2:$P$2000,"Y"),0)</f>
        <v>0.769230769230769</v>
      </c>
      <c r="C34" s="2" t="s">
        <v>236</v>
      </c>
      <c r="D34" s="13" t="n">
        <f aca="false">COUNTIFS(Object_Log!$O$2:$O$2000,"Y",Object_Log!$P$2:$P$2000,"N")</f>
        <v>1</v>
      </c>
    </row>
    <row r="36" customFormat="false" ht="15" hidden="false" customHeight="false" outlineLevel="0" collapsed="false">
      <c r="A36" s="3" t="s">
        <v>237</v>
      </c>
    </row>
    <row r="37" customFormat="false" ht="15" hidden="false" customHeight="false" outlineLevel="0" collapsed="false">
      <c r="A37" s="19" t="s">
        <v>238</v>
      </c>
      <c r="B37" s="19" t="s">
        <v>92</v>
      </c>
      <c r="C37" s="19" t="s">
        <v>130</v>
      </c>
      <c r="D37" s="19" t="s">
        <v>151</v>
      </c>
      <c r="E37" s="19" t="s">
        <v>239</v>
      </c>
    </row>
    <row r="38" customFormat="false" ht="15" hidden="false" customHeight="false" outlineLevel="0" collapsed="false">
      <c r="A38" s="2" t="s">
        <v>240</v>
      </c>
      <c r="B38" s="14" t="str">
        <f aca="false">IF($B$48,C26,"INSUFFICIENT EVIDENCE")</f>
        <v>INSUFFICIENT EVIDENCE</v>
      </c>
      <c r="C38" s="14" t="str">
        <f aca="false">IF($B$48,C27,"INSUFFICIENT EVIDENCE")</f>
        <v>INSUFFICIENT EVIDENCE</v>
      </c>
      <c r="D38" s="14" t="str">
        <f aca="false">IF($B$48,C28,"INSUFFICIENT EVIDENCE")</f>
        <v>INSUFFICIENT EVIDENCE</v>
      </c>
      <c r="E38" s="14" t="str">
        <f aca="false">IF($B$48,C29,"INSUFFICIENT EVIDENCE")</f>
        <v>INSUFFICIENT EVIDENCE</v>
      </c>
    </row>
    <row r="39" customFormat="false" ht="15" hidden="false" customHeight="false" outlineLevel="0" collapsed="false">
      <c r="A39" s="2" t="s">
        <v>241</v>
      </c>
      <c r="B39" s="14" t="str">
        <f aca="false">IF($B$48,D26,"INSUFFICIENT EVIDENCE")</f>
        <v>INSUFFICIENT EVIDENCE</v>
      </c>
      <c r="C39" s="14" t="str">
        <f aca="false">IF($B$48,D27,"INSUFFICIENT EVIDENCE")</f>
        <v>INSUFFICIENT EVIDENCE</v>
      </c>
      <c r="D39" s="14" t="str">
        <f aca="false">IF($B$48,D28,"INSUFFICIENT EVIDENCE")</f>
        <v>INSUFFICIENT EVIDENCE</v>
      </c>
      <c r="E39" s="14" t="str">
        <f aca="false">IF($B$48,D29,"INSUFFICIENT EVIDENCE")</f>
        <v>INSUFFICIENT EVIDENCE</v>
      </c>
    </row>
    <row r="40" customFormat="false" ht="15" hidden="false" customHeight="false" outlineLevel="0" collapsed="false">
      <c r="A40" s="2" t="s">
        <v>242</v>
      </c>
      <c r="B40" s="14" t="str">
        <f aca="false">IF($B$48,E26,"INSUFFICIENT EVIDENCE")</f>
        <v>INSUFFICIENT EVIDENCE</v>
      </c>
      <c r="C40" s="14" t="str">
        <f aca="false">IF($B$48,E27,"INSUFFICIENT EVIDENCE")</f>
        <v>INSUFFICIENT EVIDENCE</v>
      </c>
      <c r="D40" s="14" t="str">
        <f aca="false">IF($B$48,E28,"INSUFFICIENT EVIDENCE")</f>
        <v>INSUFFICIENT EVIDENCE</v>
      </c>
      <c r="E40" s="14" t="str">
        <f aca="false">IF($B$48,E29,"INSUFFICIENT EVIDENCE")</f>
        <v>INSUFFICIENT EVIDENCE</v>
      </c>
    </row>
    <row r="41" customFormat="false" ht="15" hidden="false" customHeight="false" outlineLevel="0" collapsed="false">
      <c r="A41" s="2" t="s">
        <v>243</v>
      </c>
      <c r="B41" s="15" t="str">
        <f aca="false">IF($B$48,I26,"INSUFFICIENT EVIDENCE")</f>
        <v>INSUFFICIENT EVIDENCE</v>
      </c>
      <c r="C41" s="15" t="str">
        <f aca="false">IF($B$48,I27,"INSUFFICIENT EVIDENCE")</f>
        <v>INSUFFICIENT EVIDENCE</v>
      </c>
      <c r="D41" s="15" t="str">
        <f aca="false">IF($B$48,I28,"INSUFFICIENT EVIDENCE")</f>
        <v>INSUFFICIENT EVIDENCE</v>
      </c>
      <c r="E41" s="15" t="str">
        <f aca="false">IF($B$48,I29,"INSUFFICIENT EVIDENCE")</f>
        <v>INSUFFICIENT EVIDENCE</v>
      </c>
    </row>
    <row r="42" customFormat="false" ht="15" hidden="false" customHeight="false" outlineLevel="0" collapsed="false">
      <c r="A42" s="2" t="s">
        <v>244</v>
      </c>
      <c r="B42" s="15" t="str">
        <f aca="false">IF($B$48,J26,"INSUFFICIENT EVIDENCE")</f>
        <v>INSUFFICIENT EVIDENCE</v>
      </c>
      <c r="C42" s="15" t="str">
        <f aca="false">IF($B$48,J27,"INSUFFICIENT EVIDENCE")</f>
        <v>INSUFFICIENT EVIDENCE</v>
      </c>
      <c r="D42" s="15" t="str">
        <f aca="false">IF($B$48,J28,"INSUFFICIENT EVIDENCE")</f>
        <v>INSUFFICIENT EVIDENCE</v>
      </c>
      <c r="E42" s="15" t="str">
        <f aca="false">IF($B$48,J29,"INSUFFICIENT EVIDENCE")</f>
        <v>INSUFFICIENT EVIDENCE</v>
      </c>
    </row>
    <row r="43" customFormat="false" ht="15" hidden="false" customHeight="false" outlineLevel="0" collapsed="false">
      <c r="A43" s="2" t="s">
        <v>245</v>
      </c>
      <c r="B43" s="14" t="str">
        <f aca="false">IF($B$48,F26,"INSUFFICIENT EVIDENCE")</f>
        <v>INSUFFICIENT EVIDENCE</v>
      </c>
      <c r="C43" s="14" t="str">
        <f aca="false">IF($B$48,F27,"INSUFFICIENT EVIDENCE")</f>
        <v>INSUFFICIENT EVIDENCE</v>
      </c>
      <c r="D43" s="14" t="str">
        <f aca="false">IF($B$48,F28,"INSUFFICIENT EVIDENCE")</f>
        <v>INSUFFICIENT EVIDENCE</v>
      </c>
      <c r="E43" s="14" t="str">
        <f aca="false">IF($B$48,F29,"INSUFFICIENT EVIDENCE")</f>
        <v>INSUFFICIENT EVIDENCE</v>
      </c>
    </row>
    <row r="44" customFormat="false" ht="15" hidden="false" customHeight="false" outlineLevel="0" collapsed="false">
      <c r="A44" s="2" t="s">
        <v>246</v>
      </c>
      <c r="B44" s="15" t="str">
        <f aca="false">IF($B$48,G26,"INSUFFICIENT EVIDENCE")</f>
        <v>INSUFFICIENT EVIDENCE</v>
      </c>
      <c r="C44" s="15" t="str">
        <f aca="false">IF($B$48,G27,"INSUFFICIENT EVIDENCE")</f>
        <v>INSUFFICIENT EVIDENCE</v>
      </c>
      <c r="D44" s="15" t="str">
        <f aca="false">IF($B$48,G28,"INSUFFICIENT EVIDENCE")</f>
        <v>INSUFFICIENT EVIDENCE</v>
      </c>
      <c r="E44" s="15" t="str">
        <f aca="false">IF($B$48,G29,"INSUFFICIENT EVIDENCE")</f>
        <v>INSUFFICIENT EVIDENCE</v>
      </c>
    </row>
    <row r="45" customFormat="false" ht="15" hidden="false" customHeight="false" outlineLevel="0" collapsed="false">
      <c r="A45" s="2" t="s">
        <v>212</v>
      </c>
      <c r="B45" s="14" t="str">
        <f aca="false">IF($B$48,H26,"INSUFFICIENT EVIDENCE")</f>
        <v>INSUFFICIENT EVIDENCE</v>
      </c>
      <c r="C45" s="14" t="str">
        <f aca="false">IF($B$48,H27,"INSUFFICIENT EVIDENCE")</f>
        <v>INSUFFICIENT EVIDENCE</v>
      </c>
      <c r="D45" s="14" t="str">
        <f aca="false">IF($B$48,H28,"INSUFFICIENT EVIDENCE")</f>
        <v>INSUFFICIENT EVIDENCE</v>
      </c>
      <c r="E45" s="14" t="str">
        <f aca="false">IF($B$48,H29,"INSUFFICIENT EVIDENCE")</f>
        <v>INSUFFICIENT EVIDENCE</v>
      </c>
    </row>
    <row r="46" customFormat="false" ht="15" hidden="false" customHeight="false" outlineLevel="0" collapsed="false">
      <c r="A46" s="12" t="s">
        <v>247</v>
      </c>
      <c r="B46" s="12" t="str">
        <f aca="false">IF(COUNTIF(Object_Log!$A$2:$A$2000,"SAMPLE-*")&gt;0,"DEMO DATA — delete SAMPLE-* rows before use","LIVE DATA")</f>
        <v>DEMO DATA — delete SAMPLE-* rows before use</v>
      </c>
    </row>
    <row r="47" customFormat="false" ht="15" hidden="false" customHeight="false" outlineLevel="0" collapsed="false">
      <c r="A47" s="12" t="s">
        <v>248</v>
      </c>
      <c r="B47" s="12" t="str">
        <f aca="false">IF(B48,"QUOTE-READY","NOT QUOTE-READY — need ≥"&amp;$D$7&amp;" units/class at current config, no SAMPLE rows, blended rework ≤ target")</f>
        <v>NOT QUOTE-READY — need ≥150 units/class at current config, no SAMPLE rows, blended rework ≤ target</v>
      </c>
    </row>
    <row r="48" customFormat="false" ht="15" hidden="false" customHeight="false" outlineLevel="0" collapsed="false">
      <c r="A48" s="2" t="s">
        <v>249</v>
      </c>
      <c r="B48" s="20" t="b">
        <f aca="false">AND(MIN(B26:B28)&gt;=$D$7,COUNTIF(Object_Log!$A$2:$A$2000,"SAMPLE-*")=0,F29&lt;=$F$7)</f>
        <v>0</v>
      </c>
    </row>
    <row r="50" customFormat="false" ht="15" hidden="false" customHeight="false" outlineLevel="0" collapsed="false">
      <c r="A50" s="7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7" t="s">
        <v>252</v>
      </c>
    </row>
    <row r="3" customFormat="false" ht="15" hidden="false" customHeight="false" outlineLevel="0" collapsed="false">
      <c r="A3" s="12" t="s">
        <v>48</v>
      </c>
      <c r="B3" s="9" t="s">
        <v>88</v>
      </c>
    </row>
    <row r="5" customFormat="false" ht="30" hidden="false" customHeight="true" outlineLevel="0" collapsed="false">
      <c r="A5" s="21" t="s">
        <v>137</v>
      </c>
      <c r="B5" s="21" t="s">
        <v>253</v>
      </c>
      <c r="C5" s="21" t="s">
        <v>254</v>
      </c>
      <c r="D5" s="21" t="s">
        <v>255</v>
      </c>
      <c r="E5" s="21" t="s">
        <v>256</v>
      </c>
      <c r="F5" s="21" t="s">
        <v>208</v>
      </c>
      <c r="G5" s="21" t="s">
        <v>257</v>
      </c>
      <c r="H5" s="21" t="s">
        <v>210</v>
      </c>
      <c r="I5" s="21" t="s">
        <v>258</v>
      </c>
    </row>
    <row r="6" customFormat="false" ht="15" hidden="false" customHeight="false" outlineLevel="0" collapsed="false">
      <c r="A6" s="12" t="s">
        <v>92</v>
      </c>
      <c r="B6" s="13" t="n">
        <f aca="false">COUNTIFS(Object_Log!$C$2:$C$2000,$B$3,Object_Log!$H$2:$H$2000,"Simple",Object_Log!$M$2:$M$2000,"&lt;&gt;Decommission")</f>
        <v>5</v>
      </c>
      <c r="C6" s="14" t="n">
        <f aca="false">IFERROR(COUNTIFS(Object_Log!$C$2:$C$2000,$B$3,Object_Log!$H$2:$H$2000,"Simple",Object_Log!$M$2:$M$2000,"&lt;&gt;Decommission",Object_Log!$P$2:$P$2000,"Y")/B6,0)</f>
        <v>1</v>
      </c>
      <c r="D6" s="15" t="n">
        <f aca="false">IFERROR(AVERAGEIFS(Object_Log!$Q$2:$Q$2000,Object_Log!$C$2:$C$2000,$B$3,Object_Log!$H$2:$H$2000,"Simple",Object_Log!$M$2:$M$2000,"&lt;&gt;Decommission",Object_Log!$P$2:$P$2000,"Y")+AVERAGEIFS(Object_Log!$R$2:$R$2000,Object_Log!$C$2:$C$2000,$B$3,Object_Log!$H$2:$H$2000,"Simple",Object_Log!$M$2:$M$2000,"&lt;&gt;Decommission",Object_Log!$P$2:$P$2000,"Y"),0)</f>
        <v>24.8</v>
      </c>
      <c r="E6" s="14" t="n">
        <f aca="false">IFERROR(1-D6/Dashboard!$B$5,0)</f>
        <v>0.724444444444444</v>
      </c>
      <c r="F6" s="15" t="n">
        <f aca="false">IFERROR(AVERAGEIFS(Object_Log!$S$2:$S$2000,Object_Log!$C$2:$C$2000,$B$3,Object_Log!$H$2:$H$2000,"Simple",Object_Log!$M$2:$M$2000,"&lt;&gt;Decommission",Object_Log!$P$2:$P$2000,"Y"),0)</f>
        <v>8.8</v>
      </c>
      <c r="G6" s="14" t="n">
        <f aca="false">IFERROR(COUNTIFS(Object_Log!$C$2:$C$2000,$B$3,Object_Log!$H$2:$H$2000,"Simple",Object_Log!$M$2:$M$2000,"&lt;&gt;Decommission",Object_Log!$P$2:$P$2000,"Y",Object_Log!$T$2:$T$2000,"Y")/COUNTIFS(Object_Log!$C$2:$C$2000,$B$3,Object_Log!$H$2:$H$2000,"Simple",Object_Log!$M$2:$M$2000,"&lt;&gt;Decommission",Object_Log!$P$2:$P$2000,"Y"),0)</f>
        <v>0.8</v>
      </c>
      <c r="H6" s="14" t="n">
        <f aca="false">IFERROR(COUNTIFS(Object_Log!$C$2:$C$2000,$B$3,Object_Log!$H$2:$H$2000,"Simple",Object_Log!$M$2:$M$2000,"&lt;&gt;Decommission",Object_Log!$P$2:$P$2000,"Y",Object_Log!$U$2:$U$2000,"Y")/COUNTIFS(Object_Log!$C$2:$C$2000,$B$3,Object_Log!$H$2:$H$2000,"Simple",Object_Log!$M$2:$M$2000,"&lt;&gt;Decommission",Object_Log!$P$2:$P$2000,"Y"),0)</f>
        <v>0.2</v>
      </c>
      <c r="I6" s="13" t="n">
        <f aca="false">COUNTIFS(Object_Log!$C$2:$C$2000,$B$3,Object_Log!$H$2:$H$2000,"Simple",Object_Log!$M$2:$M$2000,"&lt;&gt;Decommission",Object_Log!$Y$2:$Y$2000,"Y")</f>
        <v>0</v>
      </c>
    </row>
    <row r="7" customFormat="false" ht="15" hidden="false" customHeight="false" outlineLevel="0" collapsed="false">
      <c r="A7" s="12" t="s">
        <v>130</v>
      </c>
      <c r="B7" s="13" t="n">
        <f aca="false">COUNTIFS(Object_Log!$C$2:$C$2000,$B$3,Object_Log!$H$2:$H$2000,"Medium",Object_Log!$M$2:$M$2000,"&lt;&gt;Decommission")</f>
        <v>5</v>
      </c>
      <c r="C7" s="14" t="n">
        <f aca="false">IFERROR(COUNTIFS(Object_Log!$C$2:$C$2000,$B$3,Object_Log!$H$2:$H$2000,"Medium",Object_Log!$M$2:$M$2000,"&lt;&gt;Decommission",Object_Log!$P$2:$P$2000,"Y")/B7,0)</f>
        <v>1</v>
      </c>
      <c r="D7" s="15" t="n">
        <f aca="false">IFERROR(AVERAGEIFS(Object_Log!$Q$2:$Q$2000,Object_Log!$C$2:$C$2000,$B$3,Object_Log!$H$2:$H$2000,"Medium",Object_Log!$M$2:$M$2000,"&lt;&gt;Decommission",Object_Log!$P$2:$P$2000,"Y")+AVERAGEIFS(Object_Log!$R$2:$R$2000,Object_Log!$C$2:$C$2000,$B$3,Object_Log!$H$2:$H$2000,"Medium",Object_Log!$M$2:$M$2000,"&lt;&gt;Decommission",Object_Log!$P$2:$P$2000,"Y"),0)</f>
        <v>77.2</v>
      </c>
      <c r="E7" s="14" t="n">
        <f aca="false">IFERROR(1-D7/Dashboard!$D$5,0)</f>
        <v>0.632380952380953</v>
      </c>
      <c r="F7" s="15" t="n">
        <f aca="false">IFERROR(AVERAGEIFS(Object_Log!$S$2:$S$2000,Object_Log!$C$2:$C$2000,$B$3,Object_Log!$H$2:$H$2000,"Medium",Object_Log!$M$2:$M$2000,"&lt;&gt;Decommission",Object_Log!$P$2:$P$2000,"Y"),0)</f>
        <v>21.2</v>
      </c>
      <c r="G7" s="14" t="n">
        <f aca="false">IFERROR(COUNTIFS(Object_Log!$C$2:$C$2000,$B$3,Object_Log!$H$2:$H$2000,"Medium",Object_Log!$M$2:$M$2000,"&lt;&gt;Decommission",Object_Log!$P$2:$P$2000,"Y",Object_Log!$T$2:$T$2000,"Y")/COUNTIFS(Object_Log!$C$2:$C$2000,$B$3,Object_Log!$H$2:$H$2000,"Medium",Object_Log!$M$2:$M$2000,"&lt;&gt;Decommission",Object_Log!$P$2:$P$2000,"Y"),0)</f>
        <v>0.6</v>
      </c>
      <c r="H7" s="14" t="n">
        <f aca="false">IFERROR(COUNTIFS(Object_Log!$C$2:$C$2000,$B$3,Object_Log!$H$2:$H$2000,"Medium",Object_Log!$M$2:$M$2000,"&lt;&gt;Decommission",Object_Log!$P$2:$P$2000,"Y",Object_Log!$U$2:$U$2000,"Y")/COUNTIFS(Object_Log!$C$2:$C$2000,$B$3,Object_Log!$H$2:$H$2000,"Medium",Object_Log!$M$2:$M$2000,"&lt;&gt;Decommission",Object_Log!$P$2:$P$2000,"Y"),0)</f>
        <v>0.4</v>
      </c>
      <c r="I7" s="13" t="n">
        <f aca="false">COUNTIFS(Object_Log!$C$2:$C$2000,$B$3,Object_Log!$H$2:$H$2000,"Medium",Object_Log!$M$2:$M$2000,"&lt;&gt;Decommission",Object_Log!$Y$2:$Y$2000,"Y")</f>
        <v>1</v>
      </c>
    </row>
    <row r="8" customFormat="false" ht="15" hidden="false" customHeight="false" outlineLevel="0" collapsed="false">
      <c r="A8" s="12" t="s">
        <v>151</v>
      </c>
      <c r="B8" s="13" t="n">
        <f aca="false">COUNTIFS(Object_Log!$C$2:$C$2000,$B$3,Object_Log!$H$2:$H$2000,"Complex",Object_Log!$M$2:$M$2000,"&lt;&gt;Decommission")</f>
        <v>5</v>
      </c>
      <c r="C8" s="14" t="n">
        <f aca="false">IFERROR(COUNTIFS(Object_Log!$C$2:$C$2000,$B$3,Object_Log!$H$2:$H$2000,"Complex",Object_Log!$M$2:$M$2000,"&lt;&gt;Decommission",Object_Log!$P$2:$P$2000,"Y")/B8,0)</f>
        <v>0.6</v>
      </c>
      <c r="D8" s="15" t="n">
        <f aca="false">IFERROR(AVERAGEIFS(Object_Log!$Q$2:$Q$2000,Object_Log!$C$2:$C$2000,$B$3,Object_Log!$H$2:$H$2000,"Complex",Object_Log!$M$2:$M$2000,"&lt;&gt;Decommission",Object_Log!$P$2:$P$2000,"Y")+AVERAGEIFS(Object_Log!$R$2:$R$2000,Object_Log!$C$2:$C$2000,$B$3,Object_Log!$H$2:$H$2000,"Complex",Object_Log!$M$2:$M$2000,"&lt;&gt;Decommission",Object_Log!$P$2:$P$2000,"Y"),0)</f>
        <v>210</v>
      </c>
      <c r="E8" s="14" t="n">
        <f aca="false">IFERROR(1-D8/Dashboard!$F$5,0)</f>
        <v>0.5</v>
      </c>
      <c r="F8" s="15" t="n">
        <f aca="false">IFERROR(AVERAGEIFS(Object_Log!$S$2:$S$2000,Object_Log!$C$2:$C$2000,$B$3,Object_Log!$H$2:$H$2000,"Complex",Object_Log!$M$2:$M$2000,"&lt;&gt;Decommission",Object_Log!$P$2:$P$2000,"Y"),0)</f>
        <v>55</v>
      </c>
      <c r="G8" s="14" t="n">
        <f aca="false">IFERROR(COUNTIFS(Object_Log!$C$2:$C$2000,$B$3,Object_Log!$H$2:$H$2000,"Complex",Object_Log!$M$2:$M$2000,"&lt;&gt;Decommission",Object_Log!$P$2:$P$2000,"Y",Object_Log!$T$2:$T$2000,"Y")/COUNTIFS(Object_Log!$C$2:$C$2000,$B$3,Object_Log!$H$2:$H$2000,"Complex",Object_Log!$M$2:$M$2000,"&lt;&gt;Decommission",Object_Log!$P$2:$P$2000,"Y"),0)</f>
        <v>1</v>
      </c>
      <c r="H8" s="14" t="n">
        <f aca="false">IFERROR(COUNTIFS(Object_Log!$C$2:$C$2000,$B$3,Object_Log!$H$2:$H$2000,"Complex",Object_Log!$M$2:$M$2000,"&lt;&gt;Decommission",Object_Log!$P$2:$P$2000,"Y",Object_Log!$U$2:$U$2000,"Y")/COUNTIFS(Object_Log!$C$2:$C$2000,$B$3,Object_Log!$H$2:$H$2000,"Complex",Object_Log!$M$2:$M$2000,"&lt;&gt;Decommission",Object_Log!$P$2:$P$2000,"Y"),0)</f>
        <v>0</v>
      </c>
      <c r="I8" s="13" t="n">
        <f aca="false">COUNTIFS(Object_Log!$C$2:$C$2000,$B$3,Object_Log!$H$2:$H$2000,"Complex",Object_Log!$M$2:$M$2000,"&lt;&gt;Decommission",Object_Log!$Y$2:$Y$2000,"Y")</f>
        <v>0</v>
      </c>
    </row>
    <row r="9" customFormat="false" ht="15" hidden="false" customHeight="false" outlineLevel="0" collapsed="false">
      <c r="A9" s="12" t="s">
        <v>259</v>
      </c>
      <c r="B9" s="16" t="n">
        <f aca="false">SUM(B6:B8)</f>
        <v>15</v>
      </c>
      <c r="C9" s="17" t="n">
        <f aca="false">IFERROR(SUMPRODUCT(B6:B8,C6:C8)/B9,0)</f>
        <v>0.866666666666667</v>
      </c>
      <c r="I9" s="16" t="n">
        <f aca="false">SUM(I6:I8)</f>
        <v>1</v>
      </c>
    </row>
    <row r="11" customFormat="false" ht="15" hidden="false" customHeight="false" outlineLevel="0" collapsed="false">
      <c r="A11" s="2" t="s">
        <v>260</v>
      </c>
      <c r="F11" s="13" t="n">
        <f aca="false">COUNTIFS(Object_Log!$C$2:$C$2000,$B$3,Object_Log!$M$2:$M$2000,"Decommission")</f>
        <v>1</v>
      </c>
    </row>
    <row r="13" customFormat="false" ht="15" hidden="false" customHeight="false" outlineLevel="0" collapsed="false">
      <c r="A13" s="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2.35" hidden="false" customHeight="false" outlineLevel="0" collapsed="false">
      <c r="A1" s="21" t="s">
        <v>47</v>
      </c>
      <c r="B1" s="21" t="s">
        <v>262</v>
      </c>
      <c r="C1" s="21" t="s">
        <v>49</v>
      </c>
      <c r="D1" s="21" t="s">
        <v>263</v>
      </c>
      <c r="E1" s="21" t="s">
        <v>264</v>
      </c>
      <c r="F1" s="21" t="s">
        <v>265</v>
      </c>
      <c r="G1" s="21" t="s">
        <v>266</v>
      </c>
      <c r="H1" s="21" t="s">
        <v>267</v>
      </c>
      <c r="I1" s="21" t="s">
        <v>268</v>
      </c>
      <c r="J1" s="21" t="s">
        <v>85</v>
      </c>
    </row>
    <row r="2" customFormat="false" ht="15" hidden="false" customHeight="false" outlineLevel="0" collapsed="false">
      <c r="A2" s="6" t="s">
        <v>87</v>
      </c>
      <c r="B2" s="6" t="s">
        <v>269</v>
      </c>
      <c r="C2" s="6" t="s">
        <v>89</v>
      </c>
      <c r="D2" s="6" t="s">
        <v>270</v>
      </c>
      <c r="E2" s="6" t="s">
        <v>271</v>
      </c>
      <c r="F2" s="6" t="n">
        <v>195</v>
      </c>
      <c r="G2" s="6" t="n">
        <v>249</v>
      </c>
      <c r="H2" s="6" t="s">
        <v>272</v>
      </c>
      <c r="I2" s="6"/>
      <c r="J2" s="6" t="s">
        <v>273</v>
      </c>
    </row>
    <row r="3" customFormat="false" ht="15" hidden="false" customHeight="false" outlineLevel="0" collapsed="false">
      <c r="A3" s="6" t="s">
        <v>274</v>
      </c>
      <c r="B3" s="6" t="s">
        <v>193</v>
      </c>
      <c r="C3" s="6" t="s">
        <v>275</v>
      </c>
      <c r="D3" s="6" t="s">
        <v>276</v>
      </c>
      <c r="E3" s="6" t="s">
        <v>277</v>
      </c>
      <c r="F3" s="6" t="n">
        <v>140</v>
      </c>
      <c r="G3" s="6" t="n">
        <v>240</v>
      </c>
      <c r="H3" s="6" t="s">
        <v>278</v>
      </c>
      <c r="I3" s="6" t="s">
        <v>279</v>
      </c>
      <c r="J3" s="6" t="s">
        <v>280</v>
      </c>
    </row>
    <row r="5" customFormat="false" ht="15" hidden="false" customHeight="false" outlineLevel="0" collapsed="false">
      <c r="A5" s="3" t="s">
        <v>281</v>
      </c>
    </row>
    <row r="6" customFormat="false" ht="15" hidden="false" customHeight="false" outlineLevel="0" collapsed="false">
      <c r="A6" s="2" t="s">
        <v>282</v>
      </c>
      <c r="B6" s="14" t="n">
        <f aca="false">IFERROR(COUNTIF($H$2:$H$2000,"Won")/(COUNTIF($H$2:$H$2000,"Won")+COUNTIF($H$2:$H$2000,"Lost")),0)</f>
        <v>0.5</v>
      </c>
    </row>
    <row r="7" customFormat="false" ht="15" hidden="false" customHeight="false" outlineLevel="0" collapsed="false">
      <c r="A7" s="2" t="s">
        <v>283</v>
      </c>
      <c r="B7" s="22" t="n">
        <f aca="false">IFERROR(AVERAGEIFS($F$2:$F$2000,$E$2:$E$2000,"AI-native"),"—")</f>
        <v>140</v>
      </c>
    </row>
    <row r="8" customFormat="false" ht="15" hidden="false" customHeight="false" outlineLevel="0" collapsed="false">
      <c r="A8" s="2" t="s">
        <v>284</v>
      </c>
      <c r="B8" s="22" t="n">
        <f aca="false">IFERROR(AVERAGEIFS($F$2:$F$2000,$E$2:$E$2000,"Offshore T&amp;M"),"—")</f>
        <v>195</v>
      </c>
    </row>
    <row r="9" customFormat="false" ht="15" hidden="false" customHeight="false" outlineLevel="0" collapsed="false">
      <c r="A9" s="2" t="s">
        <v>285</v>
      </c>
      <c r="B9" s="22" t="str">
        <f aca="false">IFERROR(AVERAGEIFS($F$2:$F$2000,$E$2:$E$2000,"Incumbent renewal"),"—")</f>
        <v>—</v>
      </c>
    </row>
    <row r="10" customFormat="false" ht="15" hidden="false" customHeight="false" outlineLevel="0" collapsed="false">
      <c r="A10" s="2" t="s">
        <v>286</v>
      </c>
      <c r="B10" s="22" t="str">
        <f aca="false">IFERROR(AVERAGEIFS($F$2:$F$2000,$E$2:$E$2000,"Internal team"),"—")</f>
        <v>—</v>
      </c>
    </row>
    <row r="12" customFormat="false" ht="15" hidden="false" customHeight="false" outlineLevel="0" collapsed="false">
      <c r="A12" s="7" t="s">
        <v>287</v>
      </c>
    </row>
  </sheetData>
  <dataValidations count="2">
    <dataValidation allowBlank="true" errorStyle="stop" operator="between" showDropDown="false" showErrorMessage="false" showInputMessage="false" sqref="E2:E1012" type="list">
      <formula1>"AI-native,Offshore T&amp;M,Incumbent renewal,Internal team,None"</formula1>
      <formula2>0</formula2>
    </dataValidation>
    <dataValidation allowBlank="true" errorStyle="stop" operator="between" showDropDown="false" showErrorMessage="false" showInputMessage="false" sqref="H2:H1012" type="list">
      <formula1>"Won,Lost,Pending"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10" min="8" style="0" width="10"/>
    <col collapsed="false" customWidth="true" hidden="false" outlineLevel="0" max="11" min="11" style="0" width="18"/>
    <col collapsed="false" customWidth="true" hidden="false" outlineLevel="0" max="12" min="12" style="0" width="28"/>
  </cols>
  <sheetData>
    <row r="1" customFormat="false" ht="22.35" hidden="false" customHeight="false" outlineLevel="0" collapsed="false">
      <c r="A1" s="21" t="s">
        <v>288</v>
      </c>
      <c r="B1" s="21" t="s">
        <v>289</v>
      </c>
      <c r="C1" s="21" t="s">
        <v>49</v>
      </c>
      <c r="D1" s="21" t="s">
        <v>290</v>
      </c>
      <c r="E1" s="21" t="s">
        <v>62</v>
      </c>
      <c r="F1" s="21" t="s">
        <v>63</v>
      </c>
      <c r="G1" s="21" t="s">
        <v>64</v>
      </c>
      <c r="H1" s="21" t="s">
        <v>66</v>
      </c>
      <c r="I1" s="21" t="s">
        <v>80</v>
      </c>
      <c r="J1" s="21" t="s">
        <v>81</v>
      </c>
      <c r="K1" s="21" t="s">
        <v>75</v>
      </c>
      <c r="L1" s="21" t="s">
        <v>85</v>
      </c>
    </row>
    <row r="2" customFormat="false" ht="15" hidden="false" customHeight="false" outlineLevel="0" collapsed="false">
      <c r="A2" s="6" t="s">
        <v>291</v>
      </c>
      <c r="B2" s="6" t="s">
        <v>292</v>
      </c>
      <c r="C2" s="6" t="s">
        <v>89</v>
      </c>
      <c r="D2" s="6" t="s">
        <v>293</v>
      </c>
      <c r="E2" s="6" t="n">
        <v>6</v>
      </c>
      <c r="F2" s="6" t="n">
        <v>18</v>
      </c>
      <c r="G2" s="6" t="n">
        <v>8</v>
      </c>
      <c r="H2" s="6" t="s">
        <v>99</v>
      </c>
      <c r="I2" s="6" t="n">
        <v>120</v>
      </c>
      <c r="J2" s="6" t="n">
        <v>15</v>
      </c>
      <c r="K2" s="6" t="s">
        <v>103</v>
      </c>
      <c r="L2" s="6" t="s">
        <v>294</v>
      </c>
    </row>
    <row r="3" customFormat="false" ht="15" hidden="false" customHeight="false" outlineLevel="0" collapsed="false">
      <c r="A3" s="6" t="s">
        <v>291</v>
      </c>
      <c r="B3" s="6" t="s">
        <v>292</v>
      </c>
      <c r="C3" s="6" t="s">
        <v>89</v>
      </c>
      <c r="D3" s="6" t="s">
        <v>295</v>
      </c>
      <c r="E3" s="6" t="n">
        <v>2</v>
      </c>
      <c r="F3" s="6" t="n">
        <v>5</v>
      </c>
      <c r="G3" s="6" t="n">
        <v>0</v>
      </c>
      <c r="H3" s="6" t="s">
        <v>99</v>
      </c>
      <c r="I3" s="6" t="n">
        <v>40</v>
      </c>
      <c r="J3" s="6" t="n">
        <v>4</v>
      </c>
      <c r="K3" s="6" t="s">
        <v>103</v>
      </c>
      <c r="L3" s="6"/>
    </row>
  </sheetData>
  <dataValidations count="2">
    <dataValidation allowBlank="true" errorStyle="stop" operator="between" showDropDown="false" showErrorMessage="false" showInputMessage="false" sqref="D2:D1003" type="list">
      <formula1>"AMS ticket resolved,Monitoring alert triaged,Upgrade object remediated,Scheduled health check"</formula1>
      <formula2>0</formula2>
    </dataValidation>
    <dataValidation allowBlank="true" errorStyle="stop" operator="between" showDropDown="false" showErrorMessage="false" showInputMessage="false" sqref="H2:H100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22.35" hidden="false" customHeight="false" outlineLevel="0" collapsed="false">
      <c r="A1" s="21" t="s">
        <v>289</v>
      </c>
      <c r="B1" s="21" t="s">
        <v>49</v>
      </c>
      <c r="C1" s="21" t="s">
        <v>296</v>
      </c>
      <c r="D1" s="21" t="s">
        <v>297</v>
      </c>
      <c r="E1" s="21" t="s">
        <v>298</v>
      </c>
      <c r="F1" s="21" t="s">
        <v>299</v>
      </c>
      <c r="G1" s="21" t="s">
        <v>300</v>
      </c>
      <c r="H1" s="21" t="s">
        <v>301</v>
      </c>
      <c r="I1" s="21" t="s">
        <v>302</v>
      </c>
      <c r="J1" s="21" t="s">
        <v>303</v>
      </c>
    </row>
    <row r="2" customFormat="false" ht="15" hidden="false" customHeight="false" outlineLevel="0" collapsed="false">
      <c r="A2" s="6" t="s">
        <v>292</v>
      </c>
      <c r="B2" s="6" t="s">
        <v>89</v>
      </c>
      <c r="C2" s="6" t="s">
        <v>269</v>
      </c>
      <c r="D2" s="6" t="n">
        <v>12</v>
      </c>
      <c r="E2" s="6" t="n">
        <v>180000</v>
      </c>
      <c r="F2" s="6" t="n">
        <v>600</v>
      </c>
      <c r="G2" s="6" t="s">
        <v>304</v>
      </c>
      <c r="H2" s="23" t="n">
        <f aca="false">COUNTIFS(Service_Log!$B$2:$B$2000,$A2)</f>
        <v>2</v>
      </c>
      <c r="I2" s="23" t="n">
        <f aca="false">SUMIFS(Service_Log!$E$2:$E$2000,Service_Log!$B$2:$B$2000,$A2)+SUMIFS(Service_Log!$F$2:$F$2000,Service_Log!$B$2:$B$2000,$A2)+SUMIFS(Service_Log!$G$2:$G$2000,Service_Log!$B$2:$B$2000,$A2)</f>
        <v>39</v>
      </c>
      <c r="J2" s="24" t="n">
        <f aca="false">IFERROR(I2/H2,0)</f>
        <v>19.5</v>
      </c>
    </row>
    <row r="5" customFormat="false" ht="15" hidden="false" customHeight="false" outlineLevel="0" collapsed="false">
      <c r="A5" s="3" t="s">
        <v>305</v>
      </c>
    </row>
    <row r="6" customFormat="false" ht="15" hidden="false" customHeight="false" outlineLevel="0" collapsed="false">
      <c r="A6" s="2" t="s">
        <v>306</v>
      </c>
      <c r="B6" s="14" t="n">
        <f aca="false">IFERROR(COUNTIF($G$2:$G$2000,"Y")/(COUNTIF($G$2:$G$2000,"Y")+COUNTIF($G$2:$G$2000,"N")),0)</f>
        <v>0</v>
      </c>
    </row>
    <row r="8" customFormat="false" ht="15" hidden="false" customHeight="false" outlineLevel="0" collapsed="false">
      <c r="A8" s="7" t="s">
        <v>307</v>
      </c>
    </row>
  </sheetData>
  <dataValidations count="1">
    <dataValidation allowBlank="true" errorStyle="stop" operator="between" showDropDown="false" showErrorMessage="false" showInputMessage="false" sqref="G2:G1008" type="list">
      <formula1>"Y,N,Pending"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2026-07-21T21:41:57Z</dcterms:created>
  <dc:creator>openpyxl</dc:creator>
  <dc:description/>
  <dc:language>en-SG</dc:language>
  <cp:lastModifiedBy/>
  <dcterms:modified xsi:type="dcterms:W3CDTF">2026-07-21T21:41:57Z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